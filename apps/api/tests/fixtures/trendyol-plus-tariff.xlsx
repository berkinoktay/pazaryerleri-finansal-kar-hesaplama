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lus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3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</font>
  </fonts>
  <fills count="8">
    <fill>
      <patternFill patternType="none"/>
    </fill>
    <fill>
      <patternFill patternType="darkGray"/>
    </fill>
    <fill>
      <patternFill patternType="none">
        <fgColor rgb="F8CB9C"/>
      </patternFill>
    </fill>
    <fill>
      <patternFill patternType="solid">
        <fgColor rgb="F8CB9C"/>
      </patternFill>
    </fill>
    <fill>
      <patternFill patternType="none">
        <fgColor rgb="B6D7A8"/>
      </patternFill>
    </fill>
    <fill>
      <patternFill patternType="solid">
        <fgColor rgb="B6D7A8"/>
      </patternFill>
    </fill>
    <fill>
      <patternFill patternType="none">
        <fgColor rgb="EDEDED"/>
      </patternFill>
    </fill>
    <fill>
      <patternFill patternType="solid">
        <fgColor rgb="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xfId="0"/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2" fontId="1" fillId="5" borderId="4" xfId="0" applyFont="true" applyFill="true" applyBorder="true" applyAlignment="true" applyNumberForma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2" fontId="1" fillId="5" borderId="4" xfId="0" applyFont="true" applyFill="true" applyBorder="true" applyAlignment="true" applyNumberForma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2" fontId="2" fillId="7" borderId="4" xfId="0" applyFont="true" applyFill="true" applyBorder="true" applyAlignment="true" applyNumberForma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2" fontId="2" fillId="7" borderId="4" xfId="0" applyFont="true" applyFill="true" applyBorder="true" applyAlignment="true" applyNumberForma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56"/>
  <sheetViews>
    <sheetView workbookViewId="0" tabSelected="true"/>
  </sheetViews>
  <sheetFormatPr defaultRowHeight="15.0"/>
  <cols>
    <col min="1" max="1" width="26.0" customWidth="true"/>
    <col min="2" max="2" width="0.0" customWidth="true"/>
    <col min="3" max="3" width="18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30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2.0" customWidth="true"/>
    <col min="21" max="21" width="0.0" customWidth="true"/>
    <col min="22" max="22" width="0.0" customWidth="true"/>
  </cols>
  <sheetData>
    <row r="1">
      <c r="A1" s="1" t="inlineStr">
        <is>
          <t>Ürün İsmi</t>
        </is>
      </c>
      <c r="B1" s="2" t="inlineStr">
        <is>
          <t>Ürün Id</t>
        </is>
      </c>
      <c r="C1" s="3" t="inlineStr">
        <is>
          <t>Barkod</t>
        </is>
      </c>
      <c r="D1" s="4" t="inlineStr">
        <is>
          <t>Satıcı Stok Kodu</t>
        </is>
      </c>
      <c r="E1" s="5" t="inlineStr">
        <is>
          <t>Beden</t>
        </is>
      </c>
      <c r="F1" s="6" t="inlineStr">
        <is>
          <t>Model Kodu</t>
        </is>
      </c>
      <c r="G1" s="7" t="inlineStr">
        <is>
          <t>Kategori</t>
        </is>
      </c>
      <c r="H1" s="8" t="inlineStr">
        <is>
          <t>Marka</t>
        </is>
      </c>
      <c r="I1" s="9" t="inlineStr">
        <is>
          <t>Stok</t>
        </is>
      </c>
      <c r="J1" s="10" t="inlineStr">
        <is>
          <t>Güncel TSF</t>
        </is>
      </c>
      <c r="K1" s="11" t="inlineStr">
        <is>
          <t>Komisyona Esas Fiyat</t>
        </is>
      </c>
      <c r="L1" s="12" t="inlineStr">
        <is>
          <t>Güncel Komisyon</t>
        </is>
      </c>
      <c r="M1" s="13" t="inlineStr">
        <is>
          <t>Plus Fiyat Üst Limiti</t>
        </is>
      </c>
      <c r="N1" s="14" t="inlineStr">
        <is>
          <t>Tarih Aralığı (7 Gün)</t>
        </is>
      </c>
      <c r="O1" s="15" t="inlineStr">
        <is>
          <t>Plus Komisyon Teklifi</t>
        </is>
      </c>
      <c r="P1" s="16" t="inlineStr">
        <is>
          <t>Plus Komisyona Esas Fiyatı</t>
        </is>
      </c>
      <c r="Q1" s="17" t="inlineStr">
        <is>
          <t>Plus Fiyat Seçimi</t>
        </is>
      </c>
      <c r="R1" s="18" t="inlineStr">
        <is>
          <t>Tarife Seçimi</t>
        </is>
      </c>
      <c r="S1" s="19" t="inlineStr">
        <is>
          <t>Hesaplanan Komisyon (7 Gün)</t>
        </is>
      </c>
      <c r="T1" s="20" t="inlineStr">
        <is>
          <t>İptal</t>
        </is>
      </c>
      <c r="U1" s="21" t="inlineStr">
        <is>
          <t>External Id</t>
        </is>
      </c>
      <c r="V1" s="22" t="inlineStr">
        <is>
          <t>Tarife Grubu</t>
        </is>
      </c>
    </row>
    <row r="2">
      <c r="A2" s="23" t="inlineStr">
        <is>
          <t>Türk Bayrağı 120×180 cm (1,2 x 1,8 metre) – Canlı ve Parlak Raşel Kumaş, Çift Dikiş</t>
        </is>
      </c>
      <c r="B2" s="24" t="inlineStr">
        <is>
          <t>935488128</t>
        </is>
      </c>
      <c r="C2" s="25" t="inlineStr">
        <is>
          <t>85697423698</t>
        </is>
      </c>
      <c r="D2" s="26" t="inlineStr">
        <is>
          <t>96587422214778</t>
        </is>
      </c>
      <c r="E2" s="27"/>
      <c r="F2" s="28" t="inlineStr">
        <is>
          <t>23645f78988d</t>
        </is>
      </c>
      <c r="G2" s="29" t="inlineStr">
        <is>
          <t>Bayrak</t>
        </is>
      </c>
      <c r="H2" s="30" t="inlineStr">
        <is>
          <t>AKYILDIZ store</t>
        </is>
      </c>
      <c r="I2" s="31" t="n">
        <v>33.0</v>
      </c>
      <c r="J2" s="32" t="n">
        <v>472.5</v>
      </c>
      <c r="K2" s="33" t="n">
        <v>448.87</v>
      </c>
      <c r="L2" s="34" t="n">
        <v>19.0</v>
      </c>
      <c r="M2" s="35" t="n">
        <v>377.66</v>
      </c>
      <c r="N2" s="36" t="inlineStr">
        <is>
          <t>30 Haziran 08.00-7 Temmuz 07.59</t>
        </is>
      </c>
      <c r="O2" s="37" t="n">
        <v>15.4</v>
      </c>
      <c r="P2" s="38" t="n">
        <v>448.87</v>
      </c>
      <c r="Q2" s="39"/>
      <c r="R2" s="40" t="n">
        <f>=IF(AND(ISBLANK(Q2), ISBLANK(U2)), "", "7 Günlük Fiyat")</f>
        <v>0.0</v>
      </c>
      <c r="S2" s="41" t="n">
        <f>=IF(OR(Q2="", R2=""), "-", IF(ISNUMBER(SEARCH("7 Günlük", R2)), IF(Q2&lt;=M2, O2, "-"), "-"))</f>
        <v>0.0</v>
      </c>
      <c r="T2" s="42" t="str">
        <f>=IF(ISBLANK(Q2), "", "Hayır")</f>
      </c>
      <c r="U2" s="43"/>
      <c r="V2" s="44" t="inlineStr">
        <is>
          <t>d2f254a0-65f7-44d2-8851-dd71e719ef4e</t>
        </is>
      </c>
    </row>
    <row r="3">
      <c r="A3" s="23" t="inlineStr">
        <is>
          <t>Türk Bayrağı 200×300 cm (2x3 metre) – Raşel Kumaş, Çift Dikiş</t>
        </is>
      </c>
      <c r="B3" s="24" t="inlineStr">
        <is>
          <t>967352546</t>
        </is>
      </c>
      <c r="C3" s="25" t="inlineStr">
        <is>
          <t>2902003000019</t>
        </is>
      </c>
      <c r="D3" s="26" t="inlineStr">
        <is>
          <t>TBR-RAS-200x300</t>
        </is>
      </c>
      <c r="E3" s="27"/>
      <c r="F3" s="28" t="inlineStr">
        <is>
          <t>TBR-RAS-200x300</t>
        </is>
      </c>
      <c r="G3" s="29" t="inlineStr">
        <is>
          <t>Bayrak</t>
        </is>
      </c>
      <c r="H3" s="30" t="inlineStr">
        <is>
          <t>AKYILDIZ store</t>
        </is>
      </c>
      <c r="I3" s="31" t="n">
        <v>423.0</v>
      </c>
      <c r="J3" s="32" t="n">
        <v>933.45</v>
      </c>
      <c r="K3" s="33" t="n">
        <v>886.78</v>
      </c>
      <c r="L3" s="34" t="n">
        <v>19.0</v>
      </c>
      <c r="M3" s="35" t="n">
        <v>735.91</v>
      </c>
      <c r="N3" s="36" t="inlineStr">
        <is>
          <t>30 Haziran 08.00-7 Temmuz 07.59</t>
        </is>
      </c>
      <c r="O3" s="37" t="n">
        <v>15.7</v>
      </c>
      <c r="P3" s="38" t="n">
        <v>886.78</v>
      </c>
      <c r="Q3" s="39"/>
      <c r="R3" s="40" t="n">
        <f>=IF(AND(ISBLANK(Q3), ISBLANK(U3)), "", "7 Günlük Fiyat")</f>
        <v>0.0</v>
      </c>
      <c r="S3" s="41" t="n">
        <f>=IF(OR(Q3="", R3=""), "-", IF(ISNUMBER(SEARCH("7 Günlük", R3)), IF(Q3&lt;=M3, O3, "-"), "-"))</f>
        <v>0.0</v>
      </c>
      <c r="T3" s="42" t="str">
        <f>=IF(ISBLANK(Q3), "", "Hayır")</f>
      </c>
      <c r="U3" s="43"/>
      <c r="V3" s="44" t="inlineStr">
        <is>
          <t>d2f254a0-65f7-44d2-8851-dd71e719ef4e</t>
        </is>
      </c>
    </row>
    <row r="4">
      <c r="A4" s="23" t="inlineStr">
        <is>
          <t>150x225 Cm Kumaş Türk Bayrağı - Oda Duvarını Boyut Olarak Boydan Kaplar</t>
        </is>
      </c>
      <c r="B4" s="24" t="inlineStr">
        <is>
          <t>262097202</t>
        </is>
      </c>
      <c r="C4" s="25" t="inlineStr">
        <is>
          <t>TB150X225A</t>
        </is>
      </c>
      <c r="D4" s="26" t="inlineStr">
        <is>
          <t/>
        </is>
      </c>
      <c r="E4" s="27"/>
      <c r="F4" s="28" t="inlineStr">
        <is>
          <t>TB150X225A</t>
        </is>
      </c>
      <c r="G4" s="29" t="inlineStr">
        <is>
          <t>Bayrak</t>
        </is>
      </c>
      <c r="H4" s="30" t="inlineStr">
        <is>
          <t>Alpaka</t>
        </is>
      </c>
      <c r="I4" s="31" t="n">
        <v>15.0</v>
      </c>
      <c r="J4" s="32" t="n">
        <v>600.0</v>
      </c>
      <c r="K4" s="33" t="n">
        <v>600.0</v>
      </c>
      <c r="L4" s="34" t="n">
        <v>19.0</v>
      </c>
      <c r="M4" s="35" t="n">
        <v>446.15</v>
      </c>
      <c r="N4" s="36" t="inlineStr">
        <is>
          <t>30 Haziran 08.00-7 Temmuz 07.59</t>
        </is>
      </c>
      <c r="O4" s="37" t="n">
        <v>12.1</v>
      </c>
      <c r="P4" s="38" t="n">
        <v>600.0</v>
      </c>
      <c r="Q4" s="39"/>
      <c r="R4" s="40" t="n">
        <f>=IF(AND(ISBLANK(Q4), ISBLANK(U4)), "", "7 Günlük Fiyat")</f>
        <v>0.0</v>
      </c>
      <c r="S4" s="41" t="n">
        <f>=IF(OR(Q4="", R4=""), "-", IF(ISNUMBER(SEARCH("7 Günlük", R4)), IF(Q4&lt;=M4, O4, "-"), "-"))</f>
        <v>0.0</v>
      </c>
      <c r="T4" s="42" t="str">
        <f>=IF(ISBLANK(Q4), "", "Hayır")</f>
      </c>
      <c r="U4" s="43"/>
      <c r="V4" s="44" t="inlineStr">
        <is>
          <t>d2f254a0-65f7-44d2-8851-dd71e719ef4e</t>
        </is>
      </c>
    </row>
    <row r="5">
      <c r="A5" s="23" t="inlineStr">
        <is>
          <t>Raşel Türk Bayrağı 100×150 cm – Kaliteli Üretim</t>
        </is>
      </c>
      <c r="B5" s="24" t="inlineStr">
        <is>
          <t>962489213</t>
        </is>
      </c>
      <c r="C5" s="25" t="inlineStr">
        <is>
          <t>8569742369822</t>
        </is>
      </c>
      <c r="D5" s="26" t="inlineStr">
        <is>
          <t>TBR-RAS-100x150</t>
        </is>
      </c>
      <c r="E5" s="27"/>
      <c r="F5" s="28" t="inlineStr">
        <is>
          <t>TRB100150</t>
        </is>
      </c>
      <c r="G5" s="29" t="inlineStr">
        <is>
          <t>Bayrak</t>
        </is>
      </c>
      <c r="H5" s="30" t="inlineStr">
        <is>
          <t>AKYILDIZ store</t>
        </is>
      </c>
      <c r="I5" s="31" t="n">
        <v>48.0</v>
      </c>
      <c r="J5" s="32" t="n">
        <v>357.0</v>
      </c>
      <c r="K5" s="33" t="n">
        <v>339.15</v>
      </c>
      <c r="L5" s="34" t="n">
        <v>19.0</v>
      </c>
      <c r="M5" s="35" t="n">
        <v>284.64</v>
      </c>
      <c r="N5" s="36" t="inlineStr">
        <is>
          <t>30 Haziran 08.00-7 Temmuz 07.59</t>
        </is>
      </c>
      <c r="O5" s="37" t="n">
        <v>14.8</v>
      </c>
      <c r="P5" s="38" t="n">
        <v>339.15</v>
      </c>
      <c r="Q5" s="39"/>
      <c r="R5" s="40" t="n">
        <f>=IF(AND(ISBLANK(Q5), ISBLANK(U5)), "", "7 Günlük Fiyat")</f>
        <v>0.0</v>
      </c>
      <c r="S5" s="41" t="n">
        <f>=IF(OR(Q5="", R5=""), "-", IF(ISNUMBER(SEARCH("7 Günlük", R5)), IF(Q5&lt;=M5, O5, "-"), "-"))</f>
        <v>0.0</v>
      </c>
      <c r="T5" s="42" t="str">
        <f>=IF(ISBLANK(Q5), "", "Hayır")</f>
      </c>
      <c r="U5" s="43"/>
      <c r="V5" s="44" t="inlineStr">
        <is>
          <t>d2f254a0-65f7-44d2-8851-dd71e719ef4e</t>
        </is>
      </c>
    </row>
    <row r="6">
      <c r="A6" s="23" t="inlineStr">
        <is>
          <t>60x90 Cm Kumaş Türk Bayrağı</t>
        </is>
      </c>
      <c r="B6" s="24" t="inlineStr">
        <is>
          <t>754196574</t>
        </is>
      </c>
      <c r="C6" s="25" t="inlineStr">
        <is>
          <t>TB60X90A</t>
        </is>
      </c>
      <c r="D6" s="26"/>
      <c r="E6" s="27"/>
      <c r="F6" s="28" t="inlineStr">
        <is>
          <t>TB60X90A</t>
        </is>
      </c>
      <c r="G6" s="29" t="inlineStr">
        <is>
          <t>Bayrak</t>
        </is>
      </c>
      <c r="H6" s="30" t="inlineStr">
        <is>
          <t>Alpaka</t>
        </is>
      </c>
      <c r="I6" s="31" t="n">
        <v>73.0</v>
      </c>
      <c r="J6" s="32" t="n">
        <v>170.0</v>
      </c>
      <c r="K6" s="33" t="n">
        <v>170.0</v>
      </c>
      <c r="L6" s="34" t="n">
        <v>19.0</v>
      </c>
      <c r="M6" s="35" t="n">
        <v>135.81</v>
      </c>
      <c r="N6" s="36" t="inlineStr">
        <is>
          <t>30 Haziran 08.00-7 Temmuz 07.59</t>
        </is>
      </c>
      <c r="O6" s="37" t="n">
        <v>14.4</v>
      </c>
      <c r="P6" s="38" t="n">
        <v>170.0</v>
      </c>
      <c r="Q6" s="39"/>
      <c r="R6" s="40" t="n">
        <f>=IF(AND(ISBLANK(Q6), ISBLANK(U6)), "", "7 Günlük Fiyat")</f>
        <v>0.0</v>
      </c>
      <c r="S6" s="41" t="n">
        <f>=IF(OR(Q6="", R6=""), "-", IF(ISNUMBER(SEARCH("7 Günlük", R6)), IF(Q6&lt;=M6, O6, "-"), "-"))</f>
        <v>0.0</v>
      </c>
      <c r="T6" s="42" t="str">
        <f>=IF(ISBLANK(Q6), "", "Hayır")</f>
      </c>
      <c r="U6" s="43"/>
      <c r="V6" s="44" t="inlineStr">
        <is>
          <t>d2f254a0-65f7-44d2-8851-dd71e719ef4e</t>
        </is>
      </c>
    </row>
    <row r="7">
      <c r="A7" s="23" t="inlineStr">
        <is>
          <t>100x150 Cm Kumaş Türk Bayrağı</t>
        </is>
      </c>
      <c r="B7" s="24" t="inlineStr">
        <is>
          <t>261736356</t>
        </is>
      </c>
      <c r="C7" s="25" t="inlineStr">
        <is>
          <t>TB100X150A</t>
        </is>
      </c>
      <c r="D7" s="26" t="inlineStr">
        <is>
          <t/>
        </is>
      </c>
      <c r="E7" s="27"/>
      <c r="F7" s="28" t="inlineStr">
        <is>
          <t>TB100X150A</t>
        </is>
      </c>
      <c r="G7" s="29" t="inlineStr">
        <is>
          <t>Bayrak</t>
        </is>
      </c>
      <c r="H7" s="30" t="inlineStr">
        <is>
          <t>Alpaka</t>
        </is>
      </c>
      <c r="I7" s="31" t="n">
        <v>89.0</v>
      </c>
      <c r="J7" s="32" t="n">
        <v>360.0</v>
      </c>
      <c r="K7" s="33" t="n">
        <v>360.0</v>
      </c>
      <c r="L7" s="34" t="n">
        <v>19.0</v>
      </c>
      <c r="M7" s="35" t="n">
        <v>231.41</v>
      </c>
      <c r="N7" s="36" t="inlineStr">
        <is>
          <t>30 Haziran 08.00-7 Temmuz 07.59</t>
        </is>
      </c>
      <c r="O7" s="37" t="n">
        <v>5.5</v>
      </c>
      <c r="P7" s="38" t="n">
        <v>360.0</v>
      </c>
      <c r="Q7" s="39"/>
      <c r="R7" s="40" t="n">
        <f>=IF(AND(ISBLANK(Q7), ISBLANK(U7)), "", "7 Günlük Fiyat")</f>
        <v>0.0</v>
      </c>
      <c r="S7" s="41" t="n">
        <f>=IF(OR(Q7="", R7=""), "-", IF(ISNUMBER(SEARCH("7 Günlük", R7)), IF(Q7&lt;=M7, O7, "-"), "-"))</f>
        <v>0.0</v>
      </c>
      <c r="T7" s="42" t="str">
        <f>=IF(ISBLANK(Q7), "", "Hayır")</f>
      </c>
      <c r="U7" s="43"/>
      <c r="V7" s="44" t="inlineStr">
        <is>
          <t>d2f254a0-65f7-44d2-8851-dd71e719ef4e</t>
        </is>
      </c>
    </row>
    <row r="8">
      <c r="A8" s="23" t="inlineStr">
        <is>
          <t>200x300 Cm Kumaş Türk Bayrağı</t>
        </is>
      </c>
      <c r="B8" s="24" t="inlineStr">
        <is>
          <t>262059950</t>
        </is>
      </c>
      <c r="C8" s="25" t="inlineStr">
        <is>
          <t>TB200X300A</t>
        </is>
      </c>
      <c r="D8" s="26" t="inlineStr">
        <is>
          <t/>
        </is>
      </c>
      <c r="E8" s="27"/>
      <c r="F8" s="28" t="inlineStr">
        <is>
          <t>TB200X300A</t>
        </is>
      </c>
      <c r="G8" s="29" t="inlineStr">
        <is>
          <t>Bayrak</t>
        </is>
      </c>
      <c r="H8" s="30" t="inlineStr">
        <is>
          <t>Alpaka</t>
        </is>
      </c>
      <c r="I8" s="31" t="n">
        <v>875.0</v>
      </c>
      <c r="J8" s="32" t="n">
        <v>852.0</v>
      </c>
      <c r="K8" s="33" t="n">
        <v>852.0</v>
      </c>
      <c r="L8" s="34" t="n">
        <v>19.0</v>
      </c>
      <c r="M8" s="35" t="n">
        <v>716.62</v>
      </c>
      <c r="N8" s="36" t="inlineStr">
        <is>
          <t>30 Haziran 08.00-7 Temmuz 07.59</t>
        </is>
      </c>
      <c r="O8" s="37" t="n">
        <v>12.5</v>
      </c>
      <c r="P8" s="38" t="n">
        <v>852.0</v>
      </c>
      <c r="Q8" s="39"/>
      <c r="R8" s="40" t="n">
        <f>=IF(AND(ISBLANK(Q8), ISBLANK(U8)), "", "7 Günlük Fiyat")</f>
        <v>0.0</v>
      </c>
      <c r="S8" s="41" t="n">
        <f>=IF(OR(Q8="", R8=""), "-", IF(ISNUMBER(SEARCH("7 Günlük", R8)), IF(Q8&lt;=M8, O8, "-"), "-"))</f>
        <v>0.0</v>
      </c>
      <c r="T8" s="42" t="str">
        <f>=IF(ISBLANK(Q8), "", "Hayır")</f>
      </c>
      <c r="U8" s="43"/>
      <c r="V8" s="44" t="inlineStr">
        <is>
          <t>d2f254a0-65f7-44d2-8851-dd71e719ef4e</t>
        </is>
      </c>
    </row>
    <row r="9">
      <c r="A9" s="23" t="inlineStr">
        <is>
          <t>Büyük Boy Türk Bayrağı 300×450 (3m x 4.5m) – Raşel Kumaş, Tok Duruş, Çift Dikiş</t>
        </is>
      </c>
      <c r="B9" s="24" t="inlineStr">
        <is>
          <t>967353878</t>
        </is>
      </c>
      <c r="C9" s="25" t="inlineStr">
        <is>
          <t>2903004500010</t>
        </is>
      </c>
      <c r="D9" s="26" t="inlineStr">
        <is>
          <t>TBR-RAS-300x450</t>
        </is>
      </c>
      <c r="E9" s="27"/>
      <c r="F9" s="28" t="inlineStr">
        <is>
          <t>TBR-RAS-300x450</t>
        </is>
      </c>
      <c r="G9" s="29" t="inlineStr">
        <is>
          <t>Bayrak</t>
        </is>
      </c>
      <c r="H9" s="30" t="inlineStr">
        <is>
          <t>AKYILDIZ store</t>
        </is>
      </c>
      <c r="I9" s="31" t="n">
        <v>44.0</v>
      </c>
      <c r="J9" s="32" t="n">
        <v>1626.0</v>
      </c>
      <c r="K9" s="33" t="n">
        <v>1544.7</v>
      </c>
      <c r="L9" s="34" t="n">
        <v>19.0</v>
      </c>
      <c r="M9" s="35" t="n">
        <v>1101.16</v>
      </c>
      <c r="N9" s="36" t="inlineStr">
        <is>
          <t>30 Haziran 08.00-7 Temmuz 07.59</t>
        </is>
      </c>
      <c r="O9" s="37" t="n">
        <v>12.9</v>
      </c>
      <c r="P9" s="38" t="n">
        <v>1544.7</v>
      </c>
      <c r="Q9" s="39"/>
      <c r="R9" s="40" t="n">
        <f>=IF(AND(ISBLANK(Q9), ISBLANK(U9)), "", "7 Günlük Fiyat")</f>
        <v>0.0</v>
      </c>
      <c r="S9" s="41" t="n">
        <f>=IF(OR(Q9="", R9=""), "-", IF(ISNUMBER(SEARCH("7 Günlük", R9)), IF(Q9&lt;=M9, O9, "-"), "-"))</f>
        <v>0.0</v>
      </c>
      <c r="T9" s="42" t="str">
        <f>=IF(ISBLANK(Q9), "", "Hayır")</f>
      </c>
      <c r="U9" s="43"/>
      <c r="V9" s="44" t="inlineStr">
        <is>
          <t>d2f254a0-65f7-44d2-8851-dd71e719ef4e</t>
        </is>
      </c>
    </row>
    <row r="10">
      <c r="A10" s="23" t="inlineStr">
        <is>
          <t>50x75 Cm Kumaş Türk Bayrağı</t>
        </is>
      </c>
      <c r="B10" s="24" t="inlineStr">
        <is>
          <t>751635922</t>
        </is>
      </c>
      <c r="C10" s="25" t="inlineStr">
        <is>
          <t>TB50X75A</t>
        </is>
      </c>
      <c r="D10" s="26" t="inlineStr">
        <is>
          <t/>
        </is>
      </c>
      <c r="E10" s="27"/>
      <c r="F10" s="28" t="inlineStr">
        <is>
          <t>TB50X75A</t>
        </is>
      </c>
      <c r="G10" s="29" t="inlineStr">
        <is>
          <t>Bayrak</t>
        </is>
      </c>
      <c r="H10" s="30" t="inlineStr">
        <is>
          <t>Alpaka</t>
        </is>
      </c>
      <c r="I10" s="31" t="n">
        <v>9.0</v>
      </c>
      <c r="J10" s="32" t="n">
        <v>125.0</v>
      </c>
      <c r="K10" s="33" t="n">
        <v>125.0</v>
      </c>
      <c r="L10" s="34" t="n">
        <v>19.0</v>
      </c>
      <c r="M10" s="35" t="n">
        <v>89.81</v>
      </c>
      <c r="N10" s="36" t="inlineStr">
        <is>
          <t>30 Haziran 08.00-7 Temmuz 07.59</t>
        </is>
      </c>
      <c r="O10" s="37" t="n">
        <v>8.0</v>
      </c>
      <c r="P10" s="38" t="n">
        <v>125.0</v>
      </c>
      <c r="Q10" s="39"/>
      <c r="R10" s="40" t="n">
        <f>=IF(AND(ISBLANK(Q10), ISBLANK(U10)), "", "7 Günlük Fiyat")</f>
        <v>0.0</v>
      </c>
      <c r="S10" s="41" t="n">
        <f>=IF(OR(Q10="", R10=""), "-", IF(ISNUMBER(SEARCH("7 Günlük", R10)), IF(Q10&lt;=M10, O10, "-"), "-"))</f>
        <v>0.0</v>
      </c>
      <c r="T10" s="42" t="str">
        <f>=IF(ISBLANK(Q10), "", "Hayır")</f>
      </c>
      <c r="U10" s="43"/>
      <c r="V10" s="44" t="inlineStr">
        <is>
          <t>d2f254a0-65f7-44d2-8851-dd71e719ef4e</t>
        </is>
      </c>
    </row>
    <row r="11">
      <c r="A11" s="23" t="inlineStr">
        <is>
          <t>Türk Bayrağı 60x90 cm - Kaliteli Alpaka Kumaş - İç ve Dış Mekana Uygun</t>
        </is>
      </c>
      <c r="B11" s="24" t="inlineStr">
        <is>
          <t>1071008208</t>
        </is>
      </c>
      <c r="C11" s="25" t="inlineStr">
        <is>
          <t>2002030043093</t>
        </is>
      </c>
      <c r="D11" s="26" t="inlineStr">
        <is>
          <t>TRB-ALP-6090</t>
        </is>
      </c>
      <c r="E11" s="27"/>
      <c r="F11" s="28" t="inlineStr">
        <is>
          <t>TRB-ALP-6090</t>
        </is>
      </c>
      <c r="G11" s="29" t="inlineStr">
        <is>
          <t>Bayrak</t>
        </is>
      </c>
      <c r="H11" s="30" t="inlineStr">
        <is>
          <t>AKYILDIZ store</t>
        </is>
      </c>
      <c r="I11" s="31" t="n">
        <v>961.0</v>
      </c>
      <c r="J11" s="32" t="n">
        <v>251.9</v>
      </c>
      <c r="K11" s="33" t="n">
        <v>239.3</v>
      </c>
      <c r="L11" s="34" t="n">
        <v>19.0</v>
      </c>
      <c r="M11" s="35" t="n">
        <v>132.88</v>
      </c>
      <c r="N11" s="36" t="inlineStr">
        <is>
          <t>30 Haziran 08.00-7 Temmuz 07.59</t>
        </is>
      </c>
      <c r="O11" s="37" t="n">
        <v>12.2</v>
      </c>
      <c r="P11" s="38" t="n">
        <v>239.3</v>
      </c>
      <c r="Q11" s="39"/>
      <c r="R11" s="40" t="n">
        <f>=IF(AND(ISBLANK(Q11), ISBLANK(U11)), "", "7 Günlük Fiyat")</f>
        <v>0.0</v>
      </c>
      <c r="S11" s="41" t="n">
        <f>=IF(OR(Q11="", R11=""), "-", IF(ISNUMBER(SEARCH("7 Günlük", R11)), IF(Q11&lt;=M11, O11, "-"), "-"))</f>
        <v>0.0</v>
      </c>
      <c r="T11" s="42" t="str">
        <f>=IF(ISBLANK(Q11), "", "Hayır")</f>
      </c>
      <c r="U11" s="43"/>
      <c r="V11" s="44" t="inlineStr">
        <is>
          <t>d2f254a0-65f7-44d2-8851-dd71e719ef4e</t>
        </is>
      </c>
    </row>
    <row r="12">
      <c r="A12" s="23" t="inlineStr">
        <is>
          <t>300x450 Cm Türk Bayrağı Alpaka</t>
        </is>
      </c>
      <c r="B12" s="24" t="inlineStr">
        <is>
          <t>262072376</t>
        </is>
      </c>
      <c r="C12" s="25" t="inlineStr">
        <is>
          <t>TB300X450R</t>
        </is>
      </c>
      <c r="D12" s="26" t="inlineStr">
        <is>
          <t/>
        </is>
      </c>
      <c r="E12" s="27"/>
      <c r="F12" s="28" t="inlineStr">
        <is>
          <t>TB300X450R</t>
        </is>
      </c>
      <c r="G12" s="29" t="inlineStr">
        <is>
          <t>Bayrak</t>
        </is>
      </c>
      <c r="H12" s="30" t="inlineStr">
        <is>
          <t>Raşel kumaş</t>
        </is>
      </c>
      <c r="I12" s="31" t="n">
        <v>40.0</v>
      </c>
      <c r="J12" s="32" t="n">
        <v>1400.0</v>
      </c>
      <c r="K12" s="33" t="n">
        <v>1400.0</v>
      </c>
      <c r="L12" s="34" t="n">
        <v>19.0</v>
      </c>
      <c r="M12" s="35" t="n">
        <v>1228.93</v>
      </c>
      <c r="N12" s="36" t="inlineStr">
        <is>
          <t>30 Haziran 08.00-7 Temmuz 07.59</t>
        </is>
      </c>
      <c r="O12" s="37" t="n">
        <v>16.3</v>
      </c>
      <c r="P12" s="38" t="n">
        <v>1400.0</v>
      </c>
      <c r="Q12" s="39"/>
      <c r="R12" s="40" t="n">
        <f>=IF(AND(ISBLANK(Q12), ISBLANK(U12)), "", "7 Günlük Fiyat")</f>
        <v>0.0</v>
      </c>
      <c r="S12" s="41" t="n">
        <f>=IF(OR(Q12="", R12=""), "-", IF(ISNUMBER(SEARCH("7 Günlük", R12)), IF(Q12&lt;=M12, O12, "-"), "-"))</f>
        <v>0.0</v>
      </c>
      <c r="T12" s="42" t="str">
        <f>=IF(ISBLANK(Q12), "", "Hayır")</f>
      </c>
      <c r="U12" s="43"/>
      <c r="V12" s="44" t="inlineStr">
        <is>
          <t>d2f254a0-65f7-44d2-8851-dd71e719ef4e</t>
        </is>
      </c>
    </row>
    <row r="13">
      <c r="A13" s="23" t="inlineStr">
        <is>
          <t>70x105 Cm Kumaş Türk Bayrağı - Bayrak Kumaşı</t>
        </is>
      </c>
      <c r="B13" s="24" t="inlineStr">
        <is>
          <t>751634925</t>
        </is>
      </c>
      <c r="C13" s="25" t="inlineStr">
        <is>
          <t>TB70X105A</t>
        </is>
      </c>
      <c r="D13" s="26"/>
      <c r="E13" s="27"/>
      <c r="F13" s="28" t="inlineStr">
        <is>
          <t>TB70X105A</t>
        </is>
      </c>
      <c r="G13" s="29" t="inlineStr">
        <is>
          <t>Bayrak</t>
        </is>
      </c>
      <c r="H13" s="30" t="inlineStr">
        <is>
          <t>Alpaka</t>
        </is>
      </c>
      <c r="I13" s="31" t="n">
        <v>951.0</v>
      </c>
      <c r="J13" s="32" t="n">
        <v>250.0</v>
      </c>
      <c r="K13" s="33" t="n">
        <v>195.84</v>
      </c>
      <c r="L13" s="34" t="n">
        <v>16.1</v>
      </c>
      <c r="M13" s="35" t="n">
        <v>160.04</v>
      </c>
      <c r="N13" s="36" t="inlineStr">
        <is>
          <t>30 Haziran 08.00-7 Temmuz 07.59</t>
        </is>
      </c>
      <c r="O13" s="37" t="n">
        <v>8.9</v>
      </c>
      <c r="P13" s="38" t="n">
        <v>195.84</v>
      </c>
      <c r="Q13" s="39"/>
      <c r="R13" s="40" t="n">
        <f>=IF(AND(ISBLANK(Q13), ISBLANK(U13)), "", "7 Günlük Fiyat")</f>
        <v>0.0</v>
      </c>
      <c r="S13" s="41" t="n">
        <f>=IF(OR(Q13="", R13=""), "-", IF(ISNUMBER(SEARCH("7 Günlük", R13)), IF(Q13&lt;=M13, O13, "-"), "-"))</f>
        <v>0.0</v>
      </c>
      <c r="T13" s="42" t="str">
        <f>=IF(ISBLANK(Q13), "", "Hayır")</f>
      </c>
      <c r="U13" s="43"/>
      <c r="V13" s="44" t="inlineStr">
        <is>
          <t>d2f254a0-65f7-44d2-8851-dd71e719ef4e</t>
        </is>
      </c>
    </row>
    <row r="14">
      <c r="A14" s="23" t="inlineStr">
        <is>
          <t>Türk Bayrağı 150x225 cm – Raşel Kumaş, Özenli Dikiş</t>
        </is>
      </c>
      <c r="B14" s="24" t="inlineStr">
        <is>
          <t>987254741</t>
        </is>
      </c>
      <c r="C14" s="25" t="inlineStr">
        <is>
          <t>8697651522300</t>
        </is>
      </c>
      <c r="D14" s="26" t="inlineStr">
        <is>
          <t>TB-RSL-150x225</t>
        </is>
      </c>
      <c r="E14" s="27"/>
      <c r="F14" s="28" t="inlineStr">
        <is>
          <t>TBR-RAS-150x225</t>
        </is>
      </c>
      <c r="G14" s="29" t="inlineStr">
        <is>
          <t>Bayrak</t>
        </is>
      </c>
      <c r="H14" s="30" t="inlineStr">
        <is>
          <t>AKYILDIZ store</t>
        </is>
      </c>
      <c r="I14" s="31" t="n">
        <v>88.0</v>
      </c>
      <c r="J14" s="32" t="n">
        <v>651.0</v>
      </c>
      <c r="K14" s="33" t="n">
        <v>618.45</v>
      </c>
      <c r="L14" s="34" t="n">
        <v>19.0</v>
      </c>
      <c r="M14" s="35" t="n">
        <v>517.86</v>
      </c>
      <c r="N14" s="36" t="inlineStr">
        <is>
          <t>30 Haziran 08.00-7 Temmuz 07.59</t>
        </is>
      </c>
      <c r="O14" s="37" t="n">
        <v>16.2</v>
      </c>
      <c r="P14" s="38" t="n">
        <v>618.45</v>
      </c>
      <c r="Q14" s="39"/>
      <c r="R14" s="40" t="n">
        <f>=IF(AND(ISBLANK(Q14), ISBLANK(U14)), "", "7 Günlük Fiyat")</f>
        <v>0.0</v>
      </c>
      <c r="S14" s="41" t="n">
        <f>=IF(OR(Q14="", R14=""), "-", IF(ISNUMBER(SEARCH("7 Günlük", R14)), IF(Q14&lt;=M14, O14, "-"), "-"))</f>
        <v>0.0</v>
      </c>
      <c r="T14" s="42" t="str">
        <f>=IF(ISBLANK(Q14), "", "Hayır")</f>
      </c>
      <c r="U14" s="43"/>
      <c r="V14" s="44" t="inlineStr">
        <is>
          <t>d2f254a0-65f7-44d2-8851-dd71e719ef4e</t>
        </is>
      </c>
    </row>
    <row r="15">
      <c r="A15" s="23" t="inlineStr">
        <is>
          <t>120x180 Cm Kumaş Türk Bayrağı</t>
        </is>
      </c>
      <c r="B15" s="24" t="inlineStr">
        <is>
          <t>262054699</t>
        </is>
      </c>
      <c r="C15" s="25" t="inlineStr">
        <is>
          <t>TB120X180A</t>
        </is>
      </c>
      <c r="D15" s="26" t="inlineStr">
        <is>
          <t/>
        </is>
      </c>
      <c r="E15" s="27"/>
      <c r="F15" s="28" t="inlineStr">
        <is>
          <t>TB120X180A</t>
        </is>
      </c>
      <c r="G15" s="29" t="inlineStr">
        <is>
          <t>Bayrak</t>
        </is>
      </c>
      <c r="H15" s="30" t="inlineStr">
        <is>
          <t>Alpaka</t>
        </is>
      </c>
      <c r="I15" s="31" t="n">
        <v>91.0</v>
      </c>
      <c r="J15" s="32" t="n">
        <v>440.0</v>
      </c>
      <c r="K15" s="33" t="n">
        <v>418.41</v>
      </c>
      <c r="L15" s="34" t="n">
        <v>15.5</v>
      </c>
      <c r="M15" s="35" t="n">
        <v>388.99</v>
      </c>
      <c r="N15" s="36" t="inlineStr">
        <is>
          <t>30 Haziran 08.00-7 Temmuz 07.59</t>
        </is>
      </c>
      <c r="O15" s="37" t="n">
        <v>13.2</v>
      </c>
      <c r="P15" s="38" t="n">
        <v>418.41</v>
      </c>
      <c r="Q15" s="39"/>
      <c r="R15" s="40" t="n">
        <f>=IF(AND(ISBLANK(Q15), ISBLANK(U15)), "", "7 Günlük Fiyat")</f>
        <v>0.0</v>
      </c>
      <c r="S15" s="41" t="n">
        <f>=IF(OR(Q15="", R15=""), "-", IF(ISNUMBER(SEARCH("7 Günlük", R15)), IF(Q15&lt;=M15, O15, "-"), "-"))</f>
        <v>0.0</v>
      </c>
      <c r="T15" s="42" t="str">
        <f>=IF(ISBLANK(Q15), "", "Hayır")</f>
      </c>
      <c r="U15" s="43"/>
      <c r="V15" s="44" t="inlineStr">
        <is>
          <t>d2f254a0-65f7-44d2-8851-dd71e719ef4e</t>
        </is>
      </c>
    </row>
    <row r="16">
      <c r="A16" s="23" t="inlineStr">
        <is>
          <t>Türk Bayrak 50x75 Cm Alpaka Türk Bayrağı 50x70 Alpaka 1. Kalite</t>
        </is>
      </c>
      <c r="B16" s="24" t="inlineStr">
        <is>
          <t>844531267</t>
        </is>
      </c>
      <c r="C16" s="25" t="inlineStr">
        <is>
          <t>026233180101</t>
        </is>
      </c>
      <c r="D16" s="26"/>
      <c r="E16" s="27"/>
      <c r="F16" s="28" t="inlineStr">
        <is>
          <t>50X75 CM ALPAKA TÜRK BAYRAĞI</t>
        </is>
      </c>
      <c r="G16" s="29" t="inlineStr">
        <is>
          <t>Bayrak</t>
        </is>
      </c>
      <c r="H16" s="30" t="inlineStr">
        <is>
          <t>Lanyard</t>
        </is>
      </c>
      <c r="I16" s="31" t="n">
        <v>87.0</v>
      </c>
      <c r="J16" s="32" t="n">
        <v>170.0</v>
      </c>
      <c r="K16" s="33" t="n">
        <v>170.0</v>
      </c>
      <c r="L16" s="34" t="n">
        <v>19.0</v>
      </c>
      <c r="M16" s="35" t="n">
        <v>99.49</v>
      </c>
      <c r="N16" s="36" t="inlineStr">
        <is>
          <t>30 Haziran 08.00-7 Temmuz 07.59</t>
        </is>
      </c>
      <c r="O16" s="37" t="n">
        <v>14.4</v>
      </c>
      <c r="P16" s="38" t="n">
        <v>170.0</v>
      </c>
      <c r="Q16" s="39"/>
      <c r="R16" s="40" t="n">
        <f>=IF(AND(ISBLANK(Q16), ISBLANK(U16)), "", "7 Günlük Fiyat")</f>
        <v>0.0</v>
      </c>
      <c r="S16" s="41" t="n">
        <f>=IF(OR(Q16="", R16=""), "-", IF(ISNUMBER(SEARCH("7 Günlük", R16)), IF(Q16&lt;=M16, O16, "-"), "-"))</f>
        <v>0.0</v>
      </c>
      <c r="T16" s="42" t="str">
        <f>=IF(ISBLANK(Q16), "", "Hayır")</f>
      </c>
      <c r="U16" s="43"/>
      <c r="V16" s="44" t="inlineStr">
        <is>
          <t>d2f254a0-65f7-44d2-8851-dd71e719ef4e</t>
        </is>
      </c>
    </row>
    <row r="17">
      <c r="A17" s="23" t="inlineStr">
        <is>
          <t>50x75cm Kalpaklı Atatürk Raşel Kumaş Sopalı Türk Bayrağı – Dayanıklı ve Kaliteli Dijital Baskı</t>
        </is>
      </c>
      <c r="B17" s="24" t="inlineStr">
        <is>
          <t>1142435838</t>
        </is>
      </c>
      <c r="C17" s="25" t="inlineStr">
        <is>
          <t>86962741224212</t>
        </is>
      </c>
      <c r="D17" s="26" t="inlineStr">
        <is>
          <t>ATB-50x75-SPL</t>
        </is>
      </c>
      <c r="E17" s="27"/>
      <c r="F17" s="28" t="inlineStr">
        <is>
          <t>ATB-50x75-SPL</t>
        </is>
      </c>
      <c r="G17" s="29" t="inlineStr">
        <is>
          <t>Bayrak</t>
        </is>
      </c>
      <c r="H17" s="30" t="inlineStr">
        <is>
          <t>AKYILDIZ store</t>
        </is>
      </c>
      <c r="I17" s="31" t="n">
        <v>73.0</v>
      </c>
      <c r="J17" s="32" t="n">
        <v>189.0</v>
      </c>
      <c r="K17" s="33" t="n">
        <v>179.55</v>
      </c>
      <c r="L17" s="34" t="n">
        <v>19.0</v>
      </c>
      <c r="M17" s="35" t="n">
        <v>112.62</v>
      </c>
      <c r="N17" s="36" t="inlineStr">
        <is>
          <t>30 Haziran 08.00-7 Temmuz 07.59</t>
        </is>
      </c>
      <c r="O17" s="37" t="n">
        <v>5.0</v>
      </c>
      <c r="P17" s="38" t="n">
        <v>179.55</v>
      </c>
      <c r="Q17" s="39"/>
      <c r="R17" s="40" t="n">
        <f>=IF(AND(ISBLANK(Q17), ISBLANK(U17)), "", "7 Günlük Fiyat")</f>
        <v>0.0</v>
      </c>
      <c r="S17" s="41" t="n">
        <f>=IF(OR(Q17="", R17=""), "-", IF(ISNUMBER(SEARCH("7 Günlük", R17)), IF(Q17&lt;=M17, O17, "-"), "-"))</f>
        <v>0.0</v>
      </c>
      <c r="T17" s="42" t="str">
        <f>=IF(ISBLANK(Q17), "", "Hayır")</f>
      </c>
      <c r="U17" s="43"/>
      <c r="V17" s="44" t="inlineStr">
        <is>
          <t>d2f254a0-65f7-44d2-8851-dd71e719ef4e</t>
        </is>
      </c>
    </row>
    <row r="18">
      <c r="A18" s="23" t="inlineStr">
        <is>
          <t>Türk Bayrağı 600x900 cm (6 METRE X 9 METRE) - Raşel Kumaş Büyük Ebat</t>
        </is>
      </c>
      <c r="B18" s="24" t="inlineStr">
        <is>
          <t>989552056</t>
        </is>
      </c>
      <c r="C18" s="25" t="inlineStr">
        <is>
          <t>86931282052075</t>
        </is>
      </c>
      <c r="D18" s="26" t="inlineStr">
        <is>
          <t>TBR-RSL-600x900</t>
        </is>
      </c>
      <c r="E18" s="27"/>
      <c r="F18" s="28" t="inlineStr">
        <is>
          <t>TBR-RAS-600x900</t>
        </is>
      </c>
      <c r="G18" s="29" t="inlineStr">
        <is>
          <t>Bayrak</t>
        </is>
      </c>
      <c r="H18" s="30" t="inlineStr">
        <is>
          <t>AKYILDIZ store</t>
        </is>
      </c>
      <c r="I18" s="31" t="n">
        <v>32.0</v>
      </c>
      <c r="J18" s="32" t="n">
        <v>5512.0</v>
      </c>
      <c r="K18" s="33" t="n">
        <v>5236.4</v>
      </c>
      <c r="L18" s="34" t="n">
        <v>19.0</v>
      </c>
      <c r="M18" s="35" t="n">
        <v>3516.8</v>
      </c>
      <c r="N18" s="36" t="inlineStr">
        <is>
          <t>30 Haziran 08.00-7 Temmuz 07.59</t>
        </is>
      </c>
      <c r="O18" s="37" t="n">
        <v>9.6</v>
      </c>
      <c r="P18" s="38" t="n">
        <v>5236.4</v>
      </c>
      <c r="Q18" s="39"/>
      <c r="R18" s="40" t="n">
        <f>=IF(AND(ISBLANK(Q18), ISBLANK(U18)), "", "7 Günlük Fiyat")</f>
        <v>0.0</v>
      </c>
      <c r="S18" s="41" t="n">
        <f>=IF(OR(Q18="", R18=""), "-", IF(ISNUMBER(SEARCH("7 Günlük", R18)), IF(Q18&lt;=M18, O18, "-"), "-"))</f>
        <v>0.0</v>
      </c>
      <c r="T18" s="42" t="str">
        <f>=IF(ISBLANK(Q18), "", "Hayır")</f>
      </c>
      <c r="U18" s="43"/>
      <c r="V18" s="44" t="inlineStr">
        <is>
          <t>d2f254a0-65f7-44d2-8851-dd71e719ef4e</t>
        </is>
      </c>
    </row>
    <row r="19">
      <c r="A19" s="23" t="inlineStr">
        <is>
          <t>200X300 CM ATATÜRK BASKILI TÜRK BAYRAĞI ATATÜRK POSTERİ RAŞEL KUMAŞ</t>
        </is>
      </c>
      <c r="B19" s="24" t="inlineStr">
        <is>
          <t>768442545</t>
        </is>
      </c>
      <c r="C19" s="25" t="inlineStr">
        <is>
          <t>ATA200X300R</t>
        </is>
      </c>
      <c r="D19" s="26" t="inlineStr">
        <is>
          <t/>
        </is>
      </c>
      <c r="E19" s="27"/>
      <c r="F19" s="28" t="inlineStr">
        <is>
          <t>ATA200X300R</t>
        </is>
      </c>
      <c r="G19" s="29" t="inlineStr">
        <is>
          <t>Bayrak</t>
        </is>
      </c>
      <c r="H19" s="30" t="inlineStr">
        <is>
          <t>Raşel kumaş</t>
        </is>
      </c>
      <c r="I19" s="31" t="n">
        <v>10.0</v>
      </c>
      <c r="J19" s="32" t="n">
        <v>925.0</v>
      </c>
      <c r="K19" s="33" t="n">
        <v>847.03</v>
      </c>
      <c r="L19" s="34" t="n">
        <v>18.1</v>
      </c>
      <c r="M19" s="35" t="n">
        <v>717.74</v>
      </c>
      <c r="N19" s="36" t="inlineStr">
        <is>
          <t>30 Haziran 08.00-7 Temmuz 07.59</t>
        </is>
      </c>
      <c r="O19" s="37" t="n">
        <v>12.9</v>
      </c>
      <c r="P19" s="38" t="n">
        <v>847.03</v>
      </c>
      <c r="Q19" s="39"/>
      <c r="R19" s="40" t="n">
        <f>=IF(AND(ISBLANK(Q19), ISBLANK(U19)), "", "7 Günlük Fiyat")</f>
        <v>0.0</v>
      </c>
      <c r="S19" s="41" t="n">
        <f>=IF(OR(Q19="", R19=""), "-", IF(ISNUMBER(SEARCH("7 Günlük", R19)), IF(Q19&lt;=M19, O19, "-"), "-"))</f>
        <v>0.0</v>
      </c>
      <c r="T19" s="42" t="str">
        <f>=IF(ISBLANK(Q19), "", "Hayır")</f>
      </c>
      <c r="U19" s="43"/>
      <c r="V19" s="44" t="inlineStr">
        <is>
          <t>d2f254a0-65f7-44d2-8851-dd71e719ef4e</t>
        </is>
      </c>
    </row>
    <row r="20">
      <c r="A20" s="23" t="inlineStr">
        <is>
          <t>150x225 Cm Atatürk Baskılı (ÖLÇÜ OLARAK ODA DUVARINI BOYDAN KAPLAR) Atatürk Posteri</t>
        </is>
      </c>
      <c r="B20" s="24" t="inlineStr">
        <is>
          <t>760035694</t>
        </is>
      </c>
      <c r="C20" s="25" t="inlineStr">
        <is>
          <t>ATA150X225R</t>
        </is>
      </c>
      <c r="D20" s="26" t="inlineStr">
        <is>
          <t/>
        </is>
      </c>
      <c r="E20" s="27"/>
      <c r="F20" s="28" t="inlineStr">
        <is>
          <t>ATA150X225R</t>
        </is>
      </c>
      <c r="G20" s="29" t="inlineStr">
        <is>
          <t>Bayrak</t>
        </is>
      </c>
      <c r="H20" s="30" t="inlineStr">
        <is>
          <t>Raşel kumaş</t>
        </is>
      </c>
      <c r="I20" s="31" t="n">
        <v>2.0</v>
      </c>
      <c r="J20" s="32" t="n">
        <v>585.0</v>
      </c>
      <c r="K20" s="33" t="n">
        <v>585.0</v>
      </c>
      <c r="L20" s="34" t="n">
        <v>19.0</v>
      </c>
      <c r="M20" s="35" t="n">
        <v>357.62</v>
      </c>
      <c r="N20" s="36" t="inlineStr">
        <is>
          <t>30 Haziran 08.00-7 Temmuz 07.59</t>
        </is>
      </c>
      <c r="O20" s="37" t="n">
        <v>11.7</v>
      </c>
      <c r="P20" s="38" t="n">
        <v>585.0</v>
      </c>
      <c r="Q20" s="39"/>
      <c r="R20" s="40" t="n">
        <f>=IF(AND(ISBLANK(Q20), ISBLANK(U20)), "", "7 Günlük Fiyat")</f>
        <v>0.0</v>
      </c>
      <c r="S20" s="41" t="n">
        <f>=IF(OR(Q20="", R20=""), "-", IF(ISNUMBER(SEARCH("7 Günlük", R20)), IF(Q20&lt;=M20, O20, "-"), "-"))</f>
        <v>0.0</v>
      </c>
      <c r="T20" s="42" t="str">
        <f>=IF(ISBLANK(Q20), "", "Hayır")</f>
      </c>
      <c r="U20" s="43"/>
      <c r="V20" s="44" t="inlineStr">
        <is>
          <t>d2f254a0-65f7-44d2-8851-dd71e719ef4e</t>
        </is>
      </c>
    </row>
    <row r="21">
      <c r="A21" s="23" t="inlineStr">
        <is>
          <t>Türk Bayrağı 100×150 cm – 1. Sınıf Alpaka Kumaştan Üretilmiştir</t>
        </is>
      </c>
      <c r="B21" s="24" t="inlineStr">
        <is>
          <t>1125060119</t>
        </is>
      </c>
      <c r="C21" s="25" t="inlineStr">
        <is>
          <t>2903335800010</t>
        </is>
      </c>
      <c r="D21" s="26" t="inlineStr">
        <is>
          <t>TRB100150-AK</t>
        </is>
      </c>
      <c r="E21" s="27"/>
      <c r="F21" s="28" t="inlineStr">
        <is>
          <t>TRB100150-AK</t>
        </is>
      </c>
      <c r="G21" s="29" t="inlineStr">
        <is>
          <t>Bayrak</t>
        </is>
      </c>
      <c r="H21" s="30" t="inlineStr">
        <is>
          <t>AKYILDIZ store</t>
        </is>
      </c>
      <c r="I21" s="31" t="n">
        <v>81.0</v>
      </c>
      <c r="J21" s="32" t="n">
        <v>461.9</v>
      </c>
      <c r="K21" s="33" t="n">
        <v>438.8</v>
      </c>
      <c r="L21" s="34" t="n">
        <v>19.0</v>
      </c>
      <c r="M21" s="35" t="n">
        <v>267.29</v>
      </c>
      <c r="N21" s="36" t="inlineStr">
        <is>
          <t>30 Haziran 08.00-7 Temmuz 07.59</t>
        </is>
      </c>
      <c r="O21" s="37" t="n">
        <v>8.9</v>
      </c>
      <c r="P21" s="38" t="n">
        <v>438.8</v>
      </c>
      <c r="Q21" s="39"/>
      <c r="R21" s="40" t="n">
        <f>=IF(AND(ISBLANK(Q21), ISBLANK(U21)), "", "7 Günlük Fiyat")</f>
        <v>0.0</v>
      </c>
      <c r="S21" s="41" t="n">
        <f>=IF(OR(Q21="", R21=""), "-", IF(ISNUMBER(SEARCH("7 Günlük", R21)), IF(Q21&lt;=M21, O21, "-"), "-"))</f>
        <v>0.0</v>
      </c>
      <c r="T21" s="42" t="str">
        <f>=IF(ISBLANK(Q21), "", "Hayır")</f>
      </c>
      <c r="U21" s="43"/>
      <c r="V21" s="44" t="inlineStr">
        <is>
          <t>d2f254a0-65f7-44d2-8851-dd71e719ef4e</t>
        </is>
      </c>
    </row>
    <row r="22">
      <c r="A22" s="23" t="inlineStr">
        <is>
          <t>Türk Bayrağı 400x600 cm (4m x 6m) - Raşel Kumaş Dış Mekan Direk ve Balkon Uyumlu</t>
        </is>
      </c>
      <c r="B22" s="24" t="inlineStr">
        <is>
          <t>984223227</t>
        </is>
      </c>
      <c r="C22" s="25" t="inlineStr">
        <is>
          <t>86976545211075</t>
        </is>
      </c>
      <c r="D22" s="26" t="inlineStr">
        <is>
          <t>TBR-RAS-400x600</t>
        </is>
      </c>
      <c r="E22" s="27"/>
      <c r="F22" s="28" t="inlineStr">
        <is>
          <t>TBR-RAS-400x600</t>
        </is>
      </c>
      <c r="G22" s="29" t="inlineStr">
        <is>
          <t>Bayrak</t>
        </is>
      </c>
      <c r="H22" s="30" t="inlineStr">
        <is>
          <t>AKYILDIZ store</t>
        </is>
      </c>
      <c r="I22" s="31" t="n">
        <v>33.0</v>
      </c>
      <c r="J22" s="32" t="n">
        <v>2730.0</v>
      </c>
      <c r="K22" s="33" t="n">
        <v>2593.5</v>
      </c>
      <c r="L22" s="34" t="n">
        <v>19.0</v>
      </c>
      <c r="M22" s="35" t="n">
        <v>2140.57</v>
      </c>
      <c r="N22" s="36" t="inlineStr">
        <is>
          <t>30 Haziran 08.00-7 Temmuz 07.59</t>
        </is>
      </c>
      <c r="O22" s="37" t="n">
        <v>15.3</v>
      </c>
      <c r="P22" s="38" t="n">
        <v>2593.5</v>
      </c>
      <c r="Q22" s="39"/>
      <c r="R22" s="40" t="n">
        <f>=IF(AND(ISBLANK(Q22), ISBLANK(U22)), "", "7 Günlük Fiyat")</f>
        <v>0.0</v>
      </c>
      <c r="S22" s="41" t="n">
        <f>=IF(OR(Q22="", R22=""), "-", IF(ISNUMBER(SEARCH("7 Günlük", R22)), IF(Q22&lt;=M22, O22, "-"), "-"))</f>
        <v>0.0</v>
      </c>
      <c r="T22" s="42" t="str">
        <f>=IF(ISBLANK(Q22), "", "Hayır")</f>
      </c>
      <c r="U22" s="43"/>
      <c r="V22" s="44" t="inlineStr">
        <is>
          <t>d2f254a0-65f7-44d2-8851-dd71e719ef4e</t>
        </is>
      </c>
    </row>
    <row r="23">
      <c r="A23" s="23" t="inlineStr">
        <is>
          <t>70x105 İran Milli Gönder Bayrağı Raşel Kumaş Dijital Baskı</t>
        </is>
      </c>
      <c r="B23" s="24" t="inlineStr">
        <is>
          <t>1128856264</t>
        </is>
      </c>
      <c r="C23" s="25" t="inlineStr">
        <is>
          <t>2902225662410</t>
        </is>
      </c>
      <c r="D23" s="26" t="inlineStr">
        <is>
          <t>AKYDLZ-STR-IRAN-70X105</t>
        </is>
      </c>
      <c r="E23" s="27"/>
      <c r="F23" s="28" t="inlineStr">
        <is>
          <t>AKYDLZ-STR-IRAN-70X105</t>
        </is>
      </c>
      <c r="G23" s="29" t="inlineStr">
        <is>
          <t>Bayrak</t>
        </is>
      </c>
      <c r="H23" s="30" t="inlineStr">
        <is>
          <t>AKYILDIZ store</t>
        </is>
      </c>
      <c r="I23" s="31" t="n">
        <v>4.0</v>
      </c>
      <c r="J23" s="32" t="n">
        <v>283.5</v>
      </c>
      <c r="K23" s="33" t="n">
        <v>269.32</v>
      </c>
      <c r="L23" s="34" t="n">
        <v>19.0</v>
      </c>
      <c r="M23" s="35" t="n">
        <v>189.77</v>
      </c>
      <c r="N23" s="36" t="inlineStr">
        <is>
          <t>30 Haziran 08.00-7 Temmuz 07.59</t>
        </is>
      </c>
      <c r="O23" s="37" t="n">
        <v>9.1</v>
      </c>
      <c r="P23" s="38" t="n">
        <v>269.32</v>
      </c>
      <c r="Q23" s="39"/>
      <c r="R23" s="40" t="n">
        <f>=IF(AND(ISBLANK(Q23), ISBLANK(U23)), "", "7 Günlük Fiyat")</f>
        <v>0.0</v>
      </c>
      <c r="S23" s="41" t="n">
        <f>=IF(OR(Q23="", R23=""), "-", IF(ISNUMBER(SEARCH("7 Günlük", R23)), IF(Q23&lt;=M23, O23, "-"), "-"))</f>
        <v>0.0</v>
      </c>
      <c r="T23" s="42" t="str">
        <f>=IF(ISBLANK(Q23), "", "Hayır")</f>
      </c>
      <c r="U23" s="43"/>
      <c r="V23" s="44" t="inlineStr">
        <is>
          <t>d2f254a0-65f7-44d2-8851-dd71e719ef4e</t>
        </is>
      </c>
    </row>
    <row r="24">
      <c r="A24" s="23" t="inlineStr">
        <is>
          <t>Türk Bayrağı 70x105 cm Milli Bayramlar İçin Türk Bayrağı Balkona Arabaya Asılabilen Türk Bayrağı</t>
        </is>
      </c>
      <c r="B24" s="24" t="inlineStr">
        <is>
          <t>45730521</t>
        </is>
      </c>
      <c r="C24" s="25" t="inlineStr">
        <is>
          <t>ADB0000000002</t>
        </is>
      </c>
      <c r="D24" s="26" t="inlineStr">
        <is>
          <t/>
        </is>
      </c>
      <c r="E24" s="27"/>
      <c r="F24" s="28" t="inlineStr">
        <is>
          <t>ADB002</t>
        </is>
      </c>
      <c r="G24" s="29" t="inlineStr">
        <is>
          <t>Bayrak</t>
        </is>
      </c>
      <c r="H24" s="30" t="inlineStr">
        <is>
          <t>Antalya Dünya Bayrak</t>
        </is>
      </c>
      <c r="I24" s="31" t="n">
        <v>24.0</v>
      </c>
      <c r="J24" s="32" t="n">
        <v>200.0</v>
      </c>
      <c r="K24" s="33" t="n">
        <v>200.0</v>
      </c>
      <c r="L24" s="34" t="n">
        <v>19.0</v>
      </c>
      <c r="M24" s="35" t="n">
        <v>152.44</v>
      </c>
      <c r="N24" s="36" t="inlineStr">
        <is>
          <t>30 Haziran 08.00-7 Temmuz 07.59</t>
        </is>
      </c>
      <c r="O24" s="37" t="n">
        <v>14.0</v>
      </c>
      <c r="P24" s="38" t="n">
        <v>200.0</v>
      </c>
      <c r="Q24" s="39"/>
      <c r="R24" s="40" t="n">
        <f>=IF(AND(ISBLANK(Q24), ISBLANK(U24)), "", "7 Günlük Fiyat")</f>
        <v>0.0</v>
      </c>
      <c r="S24" s="41" t="n">
        <f>=IF(OR(Q24="", R24=""), "-", IF(ISNUMBER(SEARCH("7 Günlük", R24)), IF(Q24&lt;=M24, O24, "-"), "-"))</f>
        <v>0.0</v>
      </c>
      <c r="T24" s="42" t="str">
        <f>=IF(ISBLANK(Q24), "", "Hayır")</f>
      </c>
      <c r="U24" s="43"/>
      <c r="V24" s="44" t="inlineStr">
        <is>
          <t>d2f254a0-65f7-44d2-8851-dd71e719ef4e</t>
        </is>
      </c>
    </row>
    <row r="25">
      <c r="A25" s="23" t="inlineStr">
        <is>
          <t>Türk Bayrağı 70x105 cm - Kaliteli Alpaka Kumaş - Canlı ve Solmaz Renk, İç ve Dış Mekanlara Uygun</t>
        </is>
      </c>
      <c r="B25" s="24" t="inlineStr">
        <is>
          <t>1071649316</t>
        </is>
      </c>
      <c r="C25" s="25" t="inlineStr">
        <is>
          <t>2005075032077</t>
        </is>
      </c>
      <c r="D25" s="26" t="inlineStr">
        <is>
          <t>AKY-TRB-70105-ALP</t>
        </is>
      </c>
      <c r="E25" s="27"/>
      <c r="F25" s="28" t="inlineStr">
        <is>
          <t>AKY-TRB-70105-ALP</t>
        </is>
      </c>
      <c r="G25" s="29" t="inlineStr">
        <is>
          <t>Bayrak</t>
        </is>
      </c>
      <c r="H25" s="30" t="inlineStr">
        <is>
          <t>AKYILDIZ store</t>
        </is>
      </c>
      <c r="I25" s="31" t="n">
        <v>996.0</v>
      </c>
      <c r="J25" s="32" t="n">
        <v>304.4</v>
      </c>
      <c r="K25" s="33" t="n">
        <v>289.18</v>
      </c>
      <c r="L25" s="34" t="n">
        <v>19.0</v>
      </c>
      <c r="M25" s="35" t="n">
        <v>178.67</v>
      </c>
      <c r="N25" s="36" t="inlineStr">
        <is>
          <t>30 Haziran 08.00-7 Temmuz 07.59</t>
        </is>
      </c>
      <c r="O25" s="37" t="n">
        <v>13.1</v>
      </c>
      <c r="P25" s="38" t="n">
        <v>289.18</v>
      </c>
      <c r="Q25" s="39"/>
      <c r="R25" s="40" t="n">
        <f>=IF(AND(ISBLANK(Q25), ISBLANK(U25)), "", "7 Günlük Fiyat")</f>
        <v>0.0</v>
      </c>
      <c r="S25" s="41" t="n">
        <f>=IF(OR(Q25="", R25=""), "-", IF(ISNUMBER(SEARCH("7 Günlük", R25)), IF(Q25&lt;=M25, O25, "-"), "-"))</f>
        <v>0.0</v>
      </c>
      <c r="T25" s="42" t="str">
        <f>=IF(ISBLANK(Q25), "", "Hayır")</f>
      </c>
      <c r="U25" s="43"/>
      <c r="V25" s="44" t="inlineStr">
        <is>
          <t>d2f254a0-65f7-44d2-8851-dd71e719ef4e</t>
        </is>
      </c>
    </row>
    <row r="26">
      <c r="A26" s="23" t="inlineStr">
        <is>
          <t>5 Adet 20x30 Cm - Bez Kumaş Sopalı Türk Bayrağı</t>
        </is>
      </c>
      <c r="B26" s="24" t="inlineStr">
        <is>
          <t>1024353817</t>
        </is>
      </c>
      <c r="C26" s="25" t="inlineStr">
        <is>
          <t>A20X30STB</t>
        </is>
      </c>
      <c r="D26" s="26"/>
      <c r="E26" s="27"/>
      <c r="F26" s="28" t="inlineStr">
        <is>
          <t>STB20X30A5</t>
        </is>
      </c>
      <c r="G26" s="29" t="inlineStr">
        <is>
          <t>Bayrak</t>
        </is>
      </c>
      <c r="H26" s="30" t="inlineStr">
        <is>
          <t>Alpaka</t>
        </is>
      </c>
      <c r="I26" s="31" t="n">
        <v>987.0</v>
      </c>
      <c r="J26" s="32" t="n">
        <v>180.0</v>
      </c>
      <c r="K26" s="33" t="n">
        <v>180.0</v>
      </c>
      <c r="L26" s="34" t="n">
        <v>19.0</v>
      </c>
      <c r="M26" s="35" t="n">
        <v>110.31</v>
      </c>
      <c r="N26" s="36" t="inlineStr">
        <is>
          <t>30 Haziran 08.00-7 Temmuz 07.59</t>
        </is>
      </c>
      <c r="O26" s="37" t="n">
        <v>10.4</v>
      </c>
      <c r="P26" s="38" t="n">
        <v>180.0</v>
      </c>
      <c r="Q26" s="39"/>
      <c r="R26" s="40" t="n">
        <f>=IF(AND(ISBLANK(Q26), ISBLANK(U26)), "", "7 Günlük Fiyat")</f>
        <v>0.0</v>
      </c>
      <c r="S26" s="41" t="n">
        <f>=IF(OR(Q26="", R26=""), "-", IF(ISNUMBER(SEARCH("7 Günlük", R26)), IF(Q26&lt;=M26, O26, "-"), "-"))</f>
        <v>0.0</v>
      </c>
      <c r="T26" s="42" t="str">
        <f>=IF(ISBLANK(Q26), "", "Hayır")</f>
      </c>
      <c r="U26" s="43"/>
      <c r="V26" s="44" t="inlineStr">
        <is>
          <t>d2f254a0-65f7-44d2-8851-dd71e719ef4e</t>
        </is>
      </c>
    </row>
    <row r="27">
      <c r="A27" s="23" t="inlineStr">
        <is>
          <t>150x225 cm Atatürk Baskılı Türk Bayrağı – Raşel Kumaş, Çift Dikiş, Solmaz Renk</t>
        </is>
      </c>
      <c r="B27" s="24" t="inlineStr">
        <is>
          <t>991312719</t>
        </is>
      </c>
      <c r="C27" s="25" t="inlineStr">
        <is>
          <t>8697616261181</t>
        </is>
      </c>
      <c r="D27" s="26" t="inlineStr">
        <is>
          <t>ATB-150x225-RS</t>
        </is>
      </c>
      <c r="E27" s="27"/>
      <c r="F27" s="28" t="inlineStr">
        <is>
          <t>ATB-150x225-RS</t>
        </is>
      </c>
      <c r="G27" s="29" t="inlineStr">
        <is>
          <t>Bayrak</t>
        </is>
      </c>
      <c r="H27" s="30" t="inlineStr">
        <is>
          <t>AKYILDIZ store</t>
        </is>
      </c>
      <c r="I27" s="31" t="n">
        <v>2.0</v>
      </c>
      <c r="J27" s="32" t="n">
        <v>629.9</v>
      </c>
      <c r="K27" s="33" t="n">
        <v>598.4</v>
      </c>
      <c r="L27" s="34" t="n">
        <v>19.0</v>
      </c>
      <c r="M27" s="35" t="n">
        <v>442.79</v>
      </c>
      <c r="N27" s="36" t="inlineStr">
        <is>
          <t>30 Haziran 08.00-7 Temmuz 07.59</t>
        </is>
      </c>
      <c r="O27" s="37" t="n">
        <v>11.4</v>
      </c>
      <c r="P27" s="38" t="n">
        <v>598.4</v>
      </c>
      <c r="Q27" s="39"/>
      <c r="R27" s="40" t="n">
        <f>=IF(AND(ISBLANK(Q27), ISBLANK(U27)), "", "7 Günlük Fiyat")</f>
        <v>0.0</v>
      </c>
      <c r="S27" s="41" t="n">
        <f>=IF(OR(Q27="", R27=""), "-", IF(ISNUMBER(SEARCH("7 Günlük", R27)), IF(Q27&lt;=M27, O27, "-"), "-"))</f>
        <v>0.0</v>
      </c>
      <c r="T27" s="42" t="str">
        <f>=IF(ISBLANK(Q27), "", "Hayır")</f>
      </c>
      <c r="U27" s="43"/>
      <c r="V27" s="44" t="inlineStr">
        <is>
          <t>d2f254a0-65f7-44d2-8851-dd71e719ef4e</t>
        </is>
      </c>
    </row>
    <row r="28">
      <c r="A28" s="23" t="inlineStr">
        <is>
          <t>Bkt-110 150x225 Cm Türk Bayrağı</t>
        </is>
      </c>
      <c r="B28" s="24" t="inlineStr">
        <is>
          <t>6390926</t>
        </is>
      </c>
      <c r="C28" s="25" t="inlineStr">
        <is>
          <t>8694430152259</t>
        </is>
      </c>
      <c r="D28" s="26" t="inlineStr">
        <is>
          <t/>
        </is>
      </c>
      <c r="E28" s="27"/>
      <c r="F28" s="28" t="inlineStr">
        <is>
          <t>113110</t>
        </is>
      </c>
      <c r="G28" s="29" t="inlineStr">
        <is>
          <t>Bayrak</t>
        </is>
      </c>
      <c r="H28" s="30" t="inlineStr">
        <is>
          <t>Buket</t>
        </is>
      </c>
      <c r="I28" s="31" t="n">
        <v>45.0</v>
      </c>
      <c r="J28" s="32" t="n">
        <v>600.0</v>
      </c>
      <c r="K28" s="33" t="n">
        <v>600.0</v>
      </c>
      <c r="L28" s="34" t="n">
        <v>19.0</v>
      </c>
      <c r="M28" s="35" t="n">
        <v>439.58</v>
      </c>
      <c r="N28" s="36" t="inlineStr">
        <is>
          <t>30 Haziran 08.00-7 Temmuz 07.59</t>
        </is>
      </c>
      <c r="O28" s="37" t="n">
        <v>14.5</v>
      </c>
      <c r="P28" s="38" t="n">
        <v>600.0</v>
      </c>
      <c r="Q28" s="39"/>
      <c r="R28" s="40" t="n">
        <f>=IF(AND(ISBLANK(Q28), ISBLANK(U28)), "", "7 Günlük Fiyat")</f>
        <v>0.0</v>
      </c>
      <c r="S28" s="41" t="n">
        <f>=IF(OR(Q28="", R28=""), "-", IF(ISNUMBER(SEARCH("7 Günlük", R28)), IF(Q28&lt;=M28, O28, "-"), "-"))</f>
        <v>0.0</v>
      </c>
      <c r="T28" s="42" t="str">
        <f>=IF(ISBLANK(Q28), "", "Hayır")</f>
      </c>
      <c r="U28" s="43"/>
      <c r="V28" s="44" t="inlineStr">
        <is>
          <t>d2f254a0-65f7-44d2-8851-dd71e719ef4e</t>
        </is>
      </c>
    </row>
    <row r="29">
      <c r="A29" s="23" t="inlineStr">
        <is>
          <t>Bkt-106 70x105 Cm Türk Bayrağı</t>
        </is>
      </c>
      <c r="B29" s="24" t="inlineStr">
        <is>
          <t>6316237</t>
        </is>
      </c>
      <c r="C29" s="25" t="inlineStr">
        <is>
          <t>8694430701051</t>
        </is>
      </c>
      <c r="D29" s="26"/>
      <c r="E29" s="27"/>
      <c r="F29" s="28" t="inlineStr">
        <is>
          <t>PRA-177361-7830</t>
        </is>
      </c>
      <c r="G29" s="29" t="inlineStr">
        <is>
          <t>Bayrak</t>
        </is>
      </c>
      <c r="H29" s="30" t="inlineStr">
        <is>
          <t>Buket</t>
        </is>
      </c>
      <c r="I29" s="31" t="n">
        <v>991.0</v>
      </c>
      <c r="J29" s="32" t="n">
        <v>250.0</v>
      </c>
      <c r="K29" s="33" t="n">
        <v>250.0</v>
      </c>
      <c r="L29" s="34" t="n">
        <v>19.0</v>
      </c>
      <c r="M29" s="35" t="n">
        <v>104.46</v>
      </c>
      <c r="N29" s="36" t="inlineStr">
        <is>
          <t>30 Haziran 08.00-7 Temmuz 07.59</t>
        </is>
      </c>
      <c r="O29" s="37" t="n">
        <v>2.7</v>
      </c>
      <c r="P29" s="38" t="n">
        <v>250.0</v>
      </c>
      <c r="Q29" s="39"/>
      <c r="R29" s="40" t="n">
        <f>=IF(AND(ISBLANK(Q29), ISBLANK(U29)), "", "7 Günlük Fiyat")</f>
        <v>0.0</v>
      </c>
      <c r="S29" s="41" t="n">
        <f>=IF(OR(Q29="", R29=""), "-", IF(ISNUMBER(SEARCH("7 Günlük", R29)), IF(Q29&lt;=M29, O29, "-"), "-"))</f>
        <v>0.0</v>
      </c>
      <c r="T29" s="42" t="str">
        <f>=IF(ISBLANK(Q29), "", "Hayır")</f>
      </c>
      <c r="U29" s="43"/>
      <c r="V29" s="44" t="inlineStr">
        <is>
          <t>d2f254a0-65f7-44d2-8851-dd71e719ef4e</t>
        </is>
      </c>
    </row>
    <row r="30">
      <c r="A30" s="23" t="inlineStr">
        <is>
          <t>60x90 cm Atatürk Baskılı Türk Bayrağı – Raşel Kumaş, Çift Dikiş, Solmaz Renk</t>
        </is>
      </c>
      <c r="B30" s="24" t="inlineStr">
        <is>
          <t>1137942489</t>
        </is>
      </c>
      <c r="C30" s="25" t="inlineStr">
        <is>
          <t>8697345221228</t>
        </is>
      </c>
      <c r="D30" s="26" t="inlineStr">
        <is>
          <t/>
        </is>
      </c>
      <c r="E30" s="27"/>
      <c r="F30" s="28" t="inlineStr">
        <is>
          <t>ATB-60x90-RS</t>
        </is>
      </c>
      <c r="G30" s="29" t="inlineStr">
        <is>
          <t>Bayrak</t>
        </is>
      </c>
      <c r="H30" s="30" t="inlineStr">
        <is>
          <t>AKYILDIZ store</t>
        </is>
      </c>
      <c r="I30" s="31" t="n">
        <v>16.0</v>
      </c>
      <c r="J30" s="32" t="n">
        <v>210.0</v>
      </c>
      <c r="K30" s="33" t="n">
        <v>142.21</v>
      </c>
      <c r="L30" s="34" t="n">
        <v>17.5</v>
      </c>
      <c r="M30" s="35" t="n">
        <v>108.5</v>
      </c>
      <c r="N30" s="36" t="inlineStr">
        <is>
          <t>30 Haziran 08.00-7 Temmuz 07.59</t>
        </is>
      </c>
      <c r="O30" s="37" t="n">
        <v>6.6</v>
      </c>
      <c r="P30" s="38" t="n">
        <v>142.21</v>
      </c>
      <c r="Q30" s="39"/>
      <c r="R30" s="40" t="n">
        <f>=IF(AND(ISBLANK(Q30), ISBLANK(U30)), "", "7 Günlük Fiyat")</f>
        <v>0.0</v>
      </c>
      <c r="S30" s="41" t="n">
        <f>=IF(OR(Q30="", R30=""), "-", IF(ISNUMBER(SEARCH("7 Günlük", R30)), IF(Q30&lt;=M30, O30, "-"), "-"))</f>
        <v>0.0</v>
      </c>
      <c r="T30" s="42" t="str">
        <f>=IF(ISBLANK(Q30), "", "Hayır")</f>
      </c>
      <c r="U30" s="43"/>
      <c r="V30" s="44" t="inlineStr">
        <is>
          <t>d2f254a0-65f7-44d2-8851-dd71e719ef4e</t>
        </is>
      </c>
    </row>
    <row r="31">
      <c r="A31" s="23" t="inlineStr">
        <is>
          <t>Sopalı Türk Bayrağı 40x60 cm - Alpaka Kumaş 1. Kalite (5 Adet)</t>
        </is>
      </c>
      <c r="B31" s="24" t="inlineStr">
        <is>
          <t>1077767244</t>
        </is>
      </c>
      <c r="C31" s="25" t="inlineStr">
        <is>
          <t>22887400813</t>
        </is>
      </c>
      <c r="D31" s="26"/>
      <c r="E31" s="27"/>
      <c r="F31" s="28" t="inlineStr">
        <is>
          <t>BLSN11164</t>
        </is>
      </c>
      <c r="G31" s="29" t="inlineStr">
        <is>
          <t>Bayrak</t>
        </is>
      </c>
      <c r="H31" s="30" t="inlineStr">
        <is>
          <t>Bilsan</t>
        </is>
      </c>
      <c r="I31" s="31" t="n">
        <v>989.0</v>
      </c>
      <c r="J31" s="32" t="n">
        <v>540.0</v>
      </c>
      <c r="K31" s="33" t="n">
        <v>540.0</v>
      </c>
      <c r="L31" s="34" t="n">
        <v>19.0</v>
      </c>
      <c r="M31" s="35" t="n">
        <v>239.02</v>
      </c>
      <c r="N31" s="36" t="inlineStr">
        <is>
          <t>30 Haziran 08.00-7 Temmuz 07.59</t>
        </is>
      </c>
      <c r="O31" s="37" t="n">
        <v>7.5</v>
      </c>
      <c r="P31" s="38" t="n">
        <v>540.0</v>
      </c>
      <c r="Q31" s="39"/>
      <c r="R31" s="40" t="n">
        <f>=IF(AND(ISBLANK(Q31), ISBLANK(U31)), "", "7 Günlük Fiyat")</f>
        <v>0.0</v>
      </c>
      <c r="S31" s="41" t="n">
        <f>=IF(OR(Q31="", R31=""), "-", IF(ISNUMBER(SEARCH("7 Günlük", R31)), IF(Q31&lt;=M31, O31, "-"), "-"))</f>
        <v>0.0</v>
      </c>
      <c r="T31" s="42" t="str">
        <f>=IF(ISBLANK(Q31), "", "Hayır")</f>
      </c>
      <c r="U31" s="43"/>
      <c r="V31" s="44" t="inlineStr">
        <is>
          <t>d2f254a0-65f7-44d2-8851-dd71e719ef4e</t>
        </is>
      </c>
    </row>
    <row r="32">
      <c r="A32" s="23" t="inlineStr">
        <is>
          <t>10 ADET Türk Bayrağı 50x70 cm Pigment Raşel Sopalı - Resmi Bayram, Miting, Kutlama</t>
        </is>
      </c>
      <c r="B32" s="24" t="inlineStr">
        <is>
          <t>984222976</t>
        </is>
      </c>
      <c r="C32" s="25" t="inlineStr">
        <is>
          <t>8697654321075</t>
        </is>
      </c>
      <c r="D32" s="26" t="inlineStr">
        <is>
          <t>TBR-RAS-10-50x75</t>
        </is>
      </c>
      <c r="E32" s="27"/>
      <c r="F32" s="28" t="inlineStr">
        <is>
          <t>TB-RSL-SOPALI-50x75</t>
        </is>
      </c>
      <c r="G32" s="29" t="inlineStr">
        <is>
          <t>Bayrak</t>
        </is>
      </c>
      <c r="H32" s="30" t="inlineStr">
        <is>
          <t>AKYILDIZ store</t>
        </is>
      </c>
      <c r="I32" s="31" t="n">
        <v>936.0</v>
      </c>
      <c r="J32" s="32" t="n">
        <v>740.0</v>
      </c>
      <c r="K32" s="33" t="n">
        <v>703.0</v>
      </c>
      <c r="L32" s="34" t="n">
        <v>19.0</v>
      </c>
      <c r="M32" s="35" t="n">
        <v>593.33</v>
      </c>
      <c r="N32" s="36" t="inlineStr">
        <is>
          <t>30 Haziran 08.00-7 Temmuz 07.59</t>
        </is>
      </c>
      <c r="O32" s="37" t="n">
        <v>14.3</v>
      </c>
      <c r="P32" s="38" t="n">
        <v>703.0</v>
      </c>
      <c r="Q32" s="39"/>
      <c r="R32" s="40" t="n">
        <f>=IF(AND(ISBLANK(Q32), ISBLANK(U32)), "", "7 Günlük Fiyat")</f>
        <v>0.0</v>
      </c>
      <c r="S32" s="41" t="n">
        <f>=IF(OR(Q32="", R32=""), "-", IF(ISNUMBER(SEARCH("7 Günlük", R32)), IF(Q32&lt;=M32, O32, "-"), "-"))</f>
        <v>0.0</v>
      </c>
      <c r="T32" s="42" t="str">
        <f>=IF(ISBLANK(Q32), "", "Hayır")</f>
      </c>
      <c r="U32" s="43"/>
      <c r="V32" s="44" t="inlineStr">
        <is>
          <t>d2f254a0-65f7-44d2-8851-dd71e719ef4e</t>
        </is>
      </c>
    </row>
    <row r="33">
      <c r="A33" s="23" t="inlineStr">
        <is>
          <t>(10 Adet) 30x45 cm Sopalı Bez Türk Bayrağı KALİTELİ ALPAKA KUMAŞ</t>
        </is>
      </c>
      <c r="B33" s="24" t="inlineStr">
        <is>
          <t>1009939180</t>
        </is>
      </c>
      <c r="C33" s="25" t="inlineStr">
        <is>
          <t>6642493625727</t>
        </is>
      </c>
      <c r="D33" s="26" t="inlineStr">
        <is>
          <t>TB-30x45-10</t>
        </is>
      </c>
      <c r="E33" s="27"/>
      <c r="F33" s="28" t="inlineStr">
        <is>
          <t>TB-30x45-10</t>
        </is>
      </c>
      <c r="G33" s="29" t="inlineStr">
        <is>
          <t>Bayrak</t>
        </is>
      </c>
      <c r="H33" s="30" t="inlineStr">
        <is>
          <t>AKYILDIZ store</t>
        </is>
      </c>
      <c r="I33" s="31" t="n">
        <v>986.0</v>
      </c>
      <c r="J33" s="32" t="n">
        <v>440.0</v>
      </c>
      <c r="K33" s="33" t="n">
        <v>418.0</v>
      </c>
      <c r="L33" s="34" t="n">
        <v>19.0</v>
      </c>
      <c r="M33" s="35" t="n">
        <v>324.0</v>
      </c>
      <c r="N33" s="36" t="inlineStr">
        <is>
          <t>30 Haziran 08.00-7 Temmuz 07.59</t>
        </is>
      </c>
      <c r="O33" s="37" t="n">
        <v>10.5</v>
      </c>
      <c r="P33" s="38" t="n">
        <v>418.0</v>
      </c>
      <c r="Q33" s="39"/>
      <c r="R33" s="40" t="n">
        <f>=IF(AND(ISBLANK(Q33), ISBLANK(U33)), "", "7 Günlük Fiyat")</f>
        <v>0.0</v>
      </c>
      <c r="S33" s="41" t="n">
        <f>=IF(OR(Q33="", R33=""), "-", IF(ISNUMBER(SEARCH("7 Günlük", R33)), IF(Q33&lt;=M33, O33, "-"), "-"))</f>
        <v>0.0</v>
      </c>
      <c r="T33" s="42" t="str">
        <f>=IF(ISBLANK(Q33), "", "Hayır")</f>
      </c>
      <c r="U33" s="43"/>
      <c r="V33" s="44" t="inlineStr">
        <is>
          <t>d2f254a0-65f7-44d2-8851-dd71e719ef4e</t>
        </is>
      </c>
    </row>
    <row r="34">
      <c r="A34" s="23" t="inlineStr">
        <is>
          <t>10 Adet 20x30 Cm - Bez Kumaş Sopalı Türk Bayrağı</t>
        </is>
      </c>
      <c r="B34" s="24" t="inlineStr">
        <is>
          <t>761551267</t>
        </is>
      </c>
      <c r="C34" s="25" t="inlineStr">
        <is>
          <t>STB20X30AS10</t>
        </is>
      </c>
      <c r="D34" s="26" t="inlineStr">
        <is>
          <t/>
        </is>
      </c>
      <c r="E34" s="27"/>
      <c r="F34" s="28" t="inlineStr">
        <is>
          <t>STB20X30AS10</t>
        </is>
      </c>
      <c r="G34" s="29" t="inlineStr">
        <is>
          <t>Bayrak</t>
        </is>
      </c>
      <c r="H34" s="30" t="inlineStr">
        <is>
          <t>Alpaka</t>
        </is>
      </c>
      <c r="I34" s="31" t="n">
        <v>362.0</v>
      </c>
      <c r="J34" s="32" t="n">
        <v>285.0</v>
      </c>
      <c r="K34" s="33" t="n">
        <v>285.0</v>
      </c>
      <c r="L34" s="34" t="n">
        <v>19.0</v>
      </c>
      <c r="M34" s="35" t="n">
        <v>154.93</v>
      </c>
      <c r="N34" s="36" t="inlineStr">
        <is>
          <t>30 Haziran 08.00-7 Temmuz 07.59</t>
        </is>
      </c>
      <c r="O34" s="37" t="n">
        <v>11.7</v>
      </c>
      <c r="P34" s="38" t="n">
        <v>285.0</v>
      </c>
      <c r="Q34" s="39"/>
      <c r="R34" s="40" t="n">
        <f>=IF(AND(ISBLANK(Q34), ISBLANK(U34)), "", "7 Günlük Fiyat")</f>
        <v>0.0</v>
      </c>
      <c r="S34" s="41" t="n">
        <f>=IF(OR(Q34="", R34=""), "-", IF(ISNUMBER(SEARCH("7 Günlük", R34)), IF(Q34&lt;=M34, O34, "-"), "-"))</f>
        <v>0.0</v>
      </c>
      <c r="T34" s="42" t="str">
        <f>=IF(ISBLANK(Q34), "", "Hayır")</f>
      </c>
      <c r="U34" s="43"/>
      <c r="V34" s="44" t="inlineStr">
        <is>
          <t>d2f254a0-65f7-44d2-8851-dd71e719ef4e</t>
        </is>
      </c>
    </row>
    <row r="35">
      <c r="A35" s="23" t="inlineStr">
        <is>
          <t>(30 Adet) 30x45 cm Sopalı Bez Türk Bayrağı KALİTELİ ALPAKA KUMAŞ</t>
        </is>
      </c>
      <c r="B35" s="24" t="inlineStr">
        <is>
          <t>1009943414</t>
        </is>
      </c>
      <c r="C35" s="25" t="inlineStr">
        <is>
          <t>4807499444628</t>
        </is>
      </c>
      <c r="D35" s="26" t="inlineStr">
        <is>
          <t>TB-30x45-30</t>
        </is>
      </c>
      <c r="E35" s="27"/>
      <c r="F35" s="28" t="inlineStr">
        <is>
          <t>TB-30x45-30</t>
        </is>
      </c>
      <c r="G35" s="29" t="inlineStr">
        <is>
          <t>Bayrak</t>
        </is>
      </c>
      <c r="H35" s="30" t="inlineStr">
        <is>
          <t>AKYILDIZ store</t>
        </is>
      </c>
      <c r="I35" s="31" t="n">
        <v>990.0</v>
      </c>
      <c r="J35" s="32" t="n">
        <v>1050.0</v>
      </c>
      <c r="K35" s="33" t="n">
        <v>997.5</v>
      </c>
      <c r="L35" s="34" t="n">
        <v>19.0</v>
      </c>
      <c r="M35" s="35" t="n">
        <v>779.95</v>
      </c>
      <c r="N35" s="36" t="inlineStr">
        <is>
          <t>30 Haziran 08.00-7 Temmuz 07.59</t>
        </is>
      </c>
      <c r="O35" s="37" t="n">
        <v>11.4</v>
      </c>
      <c r="P35" s="38" t="n">
        <v>997.5</v>
      </c>
      <c r="Q35" s="39"/>
      <c r="R35" s="40" t="n">
        <f>=IF(AND(ISBLANK(Q35), ISBLANK(U35)), "", "7 Günlük Fiyat")</f>
        <v>0.0</v>
      </c>
      <c r="S35" s="41" t="n">
        <f>=IF(OR(Q35="", R35=""), "-", IF(ISNUMBER(SEARCH("7 Günlük", R35)), IF(Q35&lt;=M35, O35, "-"), "-"))</f>
        <v>0.0</v>
      </c>
      <c r="T35" s="42" t="str">
        <f>=IF(ISBLANK(Q35), "", "Hayır")</f>
      </c>
      <c r="U35" s="43"/>
      <c r="V35" s="44" t="inlineStr">
        <is>
          <t>d2f254a0-65f7-44d2-8851-dd71e719ef4e</t>
        </is>
      </c>
    </row>
    <row r="36">
      <c r="A36" s="23" t="inlineStr">
        <is>
          <t>200x300 cm Atatürk Baskılı Türk Bayrağı – Raşel Kumaş, Çift Dikiş, Solmaz Renk</t>
        </is>
      </c>
      <c r="B36" s="24" t="inlineStr">
        <is>
          <t>991312530</t>
        </is>
      </c>
      <c r="C36" s="25" t="inlineStr">
        <is>
          <t>8697654321228</t>
        </is>
      </c>
      <c r="D36" s="26" t="inlineStr">
        <is>
          <t>ATB-200x300-RS</t>
        </is>
      </c>
      <c r="E36" s="27"/>
      <c r="F36" s="28" t="inlineStr">
        <is>
          <t>ATB-200x300-RS</t>
        </is>
      </c>
      <c r="G36" s="29" t="inlineStr">
        <is>
          <t>Bayrak</t>
        </is>
      </c>
      <c r="H36" s="30" t="inlineStr">
        <is>
          <t>AKYILDIZ store</t>
        </is>
      </c>
      <c r="I36" s="31" t="n">
        <v>13.0</v>
      </c>
      <c r="J36" s="32" t="n">
        <v>966.0</v>
      </c>
      <c r="K36" s="33" t="n">
        <v>917.7</v>
      </c>
      <c r="L36" s="34" t="n">
        <v>19.0</v>
      </c>
      <c r="M36" s="35" t="n">
        <v>655.11</v>
      </c>
      <c r="N36" s="36" t="inlineStr">
        <is>
          <t>30 Haziran 08.00-7 Temmuz 07.59</t>
        </is>
      </c>
      <c r="O36" s="37" t="n">
        <v>12.9</v>
      </c>
      <c r="P36" s="38" t="n">
        <v>917.7</v>
      </c>
      <c r="Q36" s="39"/>
      <c r="R36" s="40" t="n">
        <f>=IF(AND(ISBLANK(Q36), ISBLANK(U36)), "", "7 Günlük Fiyat")</f>
        <v>0.0</v>
      </c>
      <c r="S36" s="41" t="n">
        <f>=IF(OR(Q36="", R36=""), "-", IF(ISNUMBER(SEARCH("7 Günlük", R36)), IF(Q36&lt;=M36, O36, "-"), "-"))</f>
        <v>0.0</v>
      </c>
      <c r="T36" s="42" t="str">
        <f>=IF(ISBLANK(Q36), "", "Hayır")</f>
      </c>
      <c r="U36" s="43"/>
      <c r="V36" s="44" t="inlineStr">
        <is>
          <t>d2f254a0-65f7-44d2-8851-dd71e719ef4e</t>
        </is>
      </c>
    </row>
    <row r="37">
      <c r="A37" s="23" t="inlineStr">
        <is>
          <t>(5 ADET) Sopalı Türk Bayrağı 50x75 cm - Raşel Kumaş</t>
        </is>
      </c>
      <c r="B37" s="24" t="inlineStr">
        <is>
          <t>991241770</t>
        </is>
      </c>
      <c r="C37" s="25" t="inlineStr">
        <is>
          <t>869644211075</t>
        </is>
      </c>
      <c r="D37" s="26" t="inlineStr">
        <is>
          <t>TB-RSL-SOPALI-50x70-5</t>
        </is>
      </c>
      <c r="E37" s="27"/>
      <c r="F37" s="28" t="inlineStr">
        <is>
          <t>TB-RSL-SOPALI-50x75-5</t>
        </is>
      </c>
      <c r="G37" s="29" t="inlineStr">
        <is>
          <t>Bayrak</t>
        </is>
      </c>
      <c r="H37" s="30" t="inlineStr">
        <is>
          <t>AKYILDIZ store</t>
        </is>
      </c>
      <c r="I37" s="31" t="n">
        <v>985.0</v>
      </c>
      <c r="J37" s="32" t="n">
        <v>450.0</v>
      </c>
      <c r="K37" s="33" t="n">
        <v>427.5</v>
      </c>
      <c r="L37" s="34" t="n">
        <v>19.0</v>
      </c>
      <c r="M37" s="35" t="n">
        <v>296.68</v>
      </c>
      <c r="N37" s="36" t="inlineStr">
        <is>
          <t>30 Haziran 08.00-7 Temmuz 07.59</t>
        </is>
      </c>
      <c r="O37" s="37" t="n">
        <v>8.9</v>
      </c>
      <c r="P37" s="38" t="n">
        <v>427.5</v>
      </c>
      <c r="Q37" s="39"/>
      <c r="R37" s="40" t="n">
        <f>=IF(AND(ISBLANK(Q37), ISBLANK(U37)), "", "7 Günlük Fiyat")</f>
        <v>0.0</v>
      </c>
      <c r="S37" s="41" t="n">
        <f>=IF(OR(Q37="", R37=""), "-", IF(ISNUMBER(SEARCH("7 Günlük", R37)), IF(Q37&lt;=M37, O37, "-"), "-"))</f>
        <v>0.0</v>
      </c>
      <c r="T37" s="42" t="str">
        <f>=IF(ISBLANK(Q37), "", "Hayır")</f>
      </c>
      <c r="U37" s="43"/>
      <c r="V37" s="44" t="inlineStr">
        <is>
          <t>d2f254a0-65f7-44d2-8851-dd71e719ef4e</t>
        </is>
      </c>
    </row>
    <row r="38">
      <c r="A38" s="23" t="inlineStr">
        <is>
          <t>Atatürk Baskılı Türk Bayrağı Atatürk Posteri 100x150 Cm Raşel Kumaş Dijital Baskı</t>
        </is>
      </c>
      <c r="B38" s="24" t="inlineStr">
        <is>
          <t>760035496</t>
        </is>
      </c>
      <c r="C38" s="25" t="inlineStr">
        <is>
          <t>ATA100X150R</t>
        </is>
      </c>
      <c r="D38" s="26" t="inlineStr">
        <is>
          <t/>
        </is>
      </c>
      <c r="E38" s="27"/>
      <c r="F38" s="28" t="inlineStr">
        <is>
          <t>ATA100X150R</t>
        </is>
      </c>
      <c r="G38" s="29" t="inlineStr">
        <is>
          <t>Bayrak</t>
        </is>
      </c>
      <c r="H38" s="30" t="inlineStr">
        <is>
          <t>Raşel kumaş</t>
        </is>
      </c>
      <c r="I38" s="31" t="n">
        <v>18.0</v>
      </c>
      <c r="J38" s="32" t="n">
        <v>365.0</v>
      </c>
      <c r="K38" s="33" t="n">
        <v>365.0</v>
      </c>
      <c r="L38" s="34" t="n">
        <v>19.0</v>
      </c>
      <c r="M38" s="35" t="n">
        <v>181.3</v>
      </c>
      <c r="N38" s="36" t="inlineStr">
        <is>
          <t>30 Haziran 08.00-7 Temmuz 07.59</t>
        </is>
      </c>
      <c r="O38" s="37" t="n">
        <v>14.5</v>
      </c>
      <c r="P38" s="38" t="n">
        <v>365.0</v>
      </c>
      <c r="Q38" s="39"/>
      <c r="R38" s="40" t="n">
        <f>=IF(AND(ISBLANK(Q38), ISBLANK(U38)), "", "7 Günlük Fiyat")</f>
        <v>0.0</v>
      </c>
      <c r="S38" s="41" t="n">
        <f>=IF(OR(Q38="", R38=""), "-", IF(ISNUMBER(SEARCH("7 Günlük", R38)), IF(Q38&lt;=M38, O38, "-"), "-"))</f>
        <v>0.0</v>
      </c>
      <c r="T38" s="42" t="str">
        <f>=IF(ISBLANK(Q38), "", "Hayır")</f>
      </c>
      <c r="U38" s="43"/>
      <c r="V38" s="44" t="inlineStr">
        <is>
          <t>d2f254a0-65f7-44d2-8851-dd71e719ef4e</t>
        </is>
      </c>
    </row>
    <row r="39">
      <c r="A39" s="23" t="inlineStr">
        <is>
          <t>600X900 CM RAŞEL KUMAŞ TÜRK BAYRAĞI</t>
        </is>
      </c>
      <c r="B39" s="24" t="inlineStr">
        <is>
          <t>754198765</t>
        </is>
      </c>
      <c r="C39" s="25" t="inlineStr">
        <is>
          <t>TB600X900R</t>
        </is>
      </c>
      <c r="D39" s="26"/>
      <c r="E39" s="27"/>
      <c r="F39" s="28" t="inlineStr">
        <is>
          <t>TB600X900R</t>
        </is>
      </c>
      <c r="G39" s="29" t="inlineStr">
        <is>
          <t>Bayrak</t>
        </is>
      </c>
      <c r="H39" s="30" t="inlineStr">
        <is>
          <t>Raşel kumaş</t>
        </is>
      </c>
      <c r="I39" s="31" t="n">
        <v>8.0</v>
      </c>
      <c r="J39" s="32" t="n">
        <v>5300.0</v>
      </c>
      <c r="K39" s="33" t="n">
        <v>5300.0</v>
      </c>
      <c r="L39" s="34" t="n">
        <v>19.0</v>
      </c>
      <c r="M39" s="35" t="n">
        <v>4457.83</v>
      </c>
      <c r="N39" s="36" t="inlineStr">
        <is>
          <t>30 Haziran 08.00-7 Temmuz 07.59</t>
        </is>
      </c>
      <c r="O39" s="37" t="n">
        <v>16.1</v>
      </c>
      <c r="P39" s="38" t="n">
        <v>5300.0</v>
      </c>
      <c r="Q39" s="39"/>
      <c r="R39" s="40" t="n">
        <f>=IF(AND(ISBLANK(Q39), ISBLANK(U39)), "", "7 Günlük Fiyat")</f>
        <v>0.0</v>
      </c>
      <c r="S39" s="41" t="n">
        <f>=IF(OR(Q39="", R39=""), "-", IF(ISNUMBER(SEARCH("7 Günlük", R39)), IF(Q39&lt;=M39, O39, "-"), "-"))</f>
        <v>0.0</v>
      </c>
      <c r="T39" s="42" t="str">
        <f>=IF(ISBLANK(Q39), "", "Hayır")</f>
      </c>
      <c r="U39" s="43"/>
      <c r="V39" s="44" t="inlineStr">
        <is>
          <t>d2f254a0-65f7-44d2-8851-dd71e719ef4e</t>
        </is>
      </c>
    </row>
    <row r="40">
      <c r="A40" s="23" t="inlineStr">
        <is>
          <t>25 Adet 20x30 Cm - Kumaş Sopalı Bez Türk Bayrağı - ince değilDİR</t>
        </is>
      </c>
      <c r="B40" s="24" t="inlineStr">
        <is>
          <t>1042653940</t>
        </is>
      </c>
      <c r="C40" s="25" t="inlineStr">
        <is>
          <t>DZYNSPT20X30A25A</t>
        </is>
      </c>
      <c r="D40" s="26"/>
      <c r="E40" s="27"/>
      <c r="F40" s="28" t="inlineStr">
        <is>
          <t>STB20X30A25A</t>
        </is>
      </c>
      <c r="G40" s="29" t="inlineStr">
        <is>
          <t>Bayrak</t>
        </is>
      </c>
      <c r="H40" s="30" t="inlineStr">
        <is>
          <t>Alpaka</t>
        </is>
      </c>
      <c r="I40" s="31" t="n">
        <v>980.0</v>
      </c>
      <c r="J40" s="32" t="n">
        <v>570.0</v>
      </c>
      <c r="K40" s="33" t="n">
        <v>570.0</v>
      </c>
      <c r="L40" s="34" t="n">
        <v>19.0</v>
      </c>
      <c r="M40" s="35" t="n">
        <v>460.62</v>
      </c>
      <c r="N40" s="36" t="inlineStr">
        <is>
          <t>30 Haziran 08.00-7 Temmuz 07.59</t>
        </is>
      </c>
      <c r="O40" s="37" t="n">
        <v>16.3</v>
      </c>
      <c r="P40" s="38" t="n">
        <v>570.0</v>
      </c>
      <c r="Q40" s="39"/>
      <c r="R40" s="40" t="n">
        <f>=IF(AND(ISBLANK(Q40), ISBLANK(U40)), "", "7 Günlük Fiyat")</f>
        <v>0.0</v>
      </c>
      <c r="S40" s="41" t="n">
        <f>=IF(OR(Q40="", R40=""), "-", IF(ISNUMBER(SEARCH("7 Günlük", R40)), IF(Q40&lt;=M40, O40, "-"), "-"))</f>
        <v>0.0</v>
      </c>
      <c r="T40" s="42" t="str">
        <f>=IF(ISBLANK(Q40), "", "Hayır")</f>
      </c>
      <c r="U40" s="43"/>
      <c r="V40" s="44" t="inlineStr">
        <is>
          <t>d2f254a0-65f7-44d2-8851-dd71e719ef4e</t>
        </is>
      </c>
    </row>
    <row r="41">
      <c r="A41" s="23" t="inlineStr">
        <is>
          <t>Türk Bayrağı 800x1200 cm – Raşel Kumaş, Dev Ebat, Çift Dikiş, Solmaz Renk, Dış Mekân Kalitesi</t>
        </is>
      </c>
      <c r="B41" s="24" t="inlineStr">
        <is>
          <t>1019817094</t>
        </is>
      </c>
      <c r="C41" s="25" t="inlineStr">
        <is>
          <t>8697654321242</t>
        </is>
      </c>
      <c r="D41" s="26" t="inlineStr">
        <is>
          <t>TB-RSL-800x1200</t>
        </is>
      </c>
      <c r="E41" s="27"/>
      <c r="F41" s="28" t="inlineStr">
        <is>
          <t>TB-RSL-800x1200</t>
        </is>
      </c>
      <c r="G41" s="29" t="inlineStr">
        <is>
          <t>Bayrak</t>
        </is>
      </c>
      <c r="H41" s="30" t="inlineStr">
        <is>
          <t>AKYILDIZ store</t>
        </is>
      </c>
      <c r="I41" s="31" t="n">
        <v>999.0</v>
      </c>
      <c r="J41" s="32" t="n">
        <v>11025.0</v>
      </c>
      <c r="K41" s="33" t="n">
        <v>9507.42</v>
      </c>
      <c r="L41" s="34" t="n">
        <v>18.0</v>
      </c>
      <c r="M41" s="35" t="n">
        <v>7509.39</v>
      </c>
      <c r="N41" s="36" t="inlineStr">
        <is>
          <t>30 Haziran 08.00-7 Temmuz 07.59</t>
        </is>
      </c>
      <c r="O41" s="37" t="n">
        <v>8.6</v>
      </c>
      <c r="P41" s="38" t="n">
        <v>9507.42</v>
      </c>
      <c r="Q41" s="39"/>
      <c r="R41" s="40" t="n">
        <f>=IF(AND(ISBLANK(Q41), ISBLANK(U41)), "", "7 Günlük Fiyat")</f>
        <v>0.0</v>
      </c>
      <c r="S41" s="41" t="n">
        <f>=IF(OR(Q41="", R41=""), "-", IF(ISNUMBER(SEARCH("7 Günlük", R41)), IF(Q41&lt;=M41, O41, "-"), "-"))</f>
        <v>0.0</v>
      </c>
      <c r="T41" s="42" t="str">
        <f>=IF(ISBLANK(Q41), "", "Hayır")</f>
      </c>
      <c r="U41" s="43"/>
      <c r="V41" s="44" t="inlineStr">
        <is>
          <t>d2f254a0-65f7-44d2-8851-dd71e719ef4e</t>
        </is>
      </c>
    </row>
    <row r="42">
      <c r="A42" s="23" t="inlineStr">
        <is>
          <t>(20 Adet) 30x45 cm Sopalı Bez Türk Bayrağı KALİTELİ ALPAKA KUMAŞ</t>
        </is>
      </c>
      <c r="B42" s="24" t="inlineStr">
        <is>
          <t>1009936493</t>
        </is>
      </c>
      <c r="C42" s="25" t="inlineStr">
        <is>
          <t>8820009528742</t>
        </is>
      </c>
      <c r="D42" s="26" t="inlineStr">
        <is>
          <t>TB-30x45-20</t>
        </is>
      </c>
      <c r="E42" s="27"/>
      <c r="F42" s="28" t="inlineStr">
        <is>
          <t>TB-30x45-20</t>
        </is>
      </c>
      <c r="G42" s="29" t="inlineStr">
        <is>
          <t>Bayrak</t>
        </is>
      </c>
      <c r="H42" s="30" t="inlineStr">
        <is>
          <t>AKYILDIZ store</t>
        </is>
      </c>
      <c r="I42" s="31" t="n">
        <v>987.0</v>
      </c>
      <c r="J42" s="32" t="n">
        <v>760.0</v>
      </c>
      <c r="K42" s="33" t="n">
        <v>722.0</v>
      </c>
      <c r="L42" s="34" t="n">
        <v>19.0</v>
      </c>
      <c r="M42" s="35" t="n">
        <v>567.25</v>
      </c>
      <c r="N42" s="36" t="inlineStr">
        <is>
          <t>30 Haziran 08.00-7 Temmuz 07.59</t>
        </is>
      </c>
      <c r="O42" s="37" t="n">
        <v>11.7</v>
      </c>
      <c r="P42" s="38" t="n">
        <v>722.0</v>
      </c>
      <c r="Q42" s="39"/>
      <c r="R42" s="40" t="n">
        <f>=IF(AND(ISBLANK(Q42), ISBLANK(U42)), "", "7 Günlük Fiyat")</f>
        <v>0.0</v>
      </c>
      <c r="S42" s="41" t="n">
        <f>=IF(OR(Q42="", R42=""), "-", IF(ISNUMBER(SEARCH("7 Günlük", R42)), IF(Q42&lt;=M42, O42, "-"), "-"))</f>
        <v>0.0</v>
      </c>
      <c r="T42" s="42" t="str">
        <f>=IF(ISBLANK(Q42), "", "Hayır")</f>
      </c>
      <c r="U42" s="43"/>
      <c r="V42" s="44" t="inlineStr">
        <is>
          <t>d2f254a0-65f7-44d2-8851-dd71e719ef4e</t>
        </is>
      </c>
    </row>
    <row r="43">
      <c r="A43" s="23" t="inlineStr">
        <is>
          <t>(5 Adet) 30x45 cm Sopalı Bez Türk Bayrağı KALİTELİ ALPAKA KUMAŞ</t>
        </is>
      </c>
      <c r="B43" s="24" t="inlineStr">
        <is>
          <t>1009933775</t>
        </is>
      </c>
      <c r="C43" s="25" t="inlineStr">
        <is>
          <t>1188369269796</t>
        </is>
      </c>
      <c r="D43" s="26" t="inlineStr">
        <is>
          <t>TB-30x45-5</t>
        </is>
      </c>
      <c r="E43" s="27"/>
      <c r="F43" s="28" t="inlineStr">
        <is>
          <t>TB-30x45-5</t>
        </is>
      </c>
      <c r="G43" s="29" t="inlineStr">
        <is>
          <t>Bayrak</t>
        </is>
      </c>
      <c r="H43" s="30" t="inlineStr">
        <is>
          <t>AKYILDIZ store</t>
        </is>
      </c>
      <c r="I43" s="31" t="n">
        <v>962.0</v>
      </c>
      <c r="J43" s="32" t="n">
        <v>273.0</v>
      </c>
      <c r="K43" s="33" t="n">
        <v>259.35</v>
      </c>
      <c r="L43" s="34" t="n">
        <v>19.0</v>
      </c>
      <c r="M43" s="35" t="n">
        <v>177.19</v>
      </c>
      <c r="N43" s="36" t="inlineStr">
        <is>
          <t>30 Haziran 08.00-7 Temmuz 07.59</t>
        </is>
      </c>
      <c r="O43" s="37" t="n">
        <v>6.8</v>
      </c>
      <c r="P43" s="38" t="n">
        <v>259.35</v>
      </c>
      <c r="Q43" s="39"/>
      <c r="R43" s="40" t="n">
        <f>=IF(AND(ISBLANK(Q43), ISBLANK(U43)), "", "7 Günlük Fiyat")</f>
        <v>0.0</v>
      </c>
      <c r="S43" s="41" t="n">
        <f>=IF(OR(Q43="", R43=""), "-", IF(ISNUMBER(SEARCH("7 Günlük", R43)), IF(Q43&lt;=M43, O43, "-"), "-"))</f>
        <v>0.0</v>
      </c>
      <c r="T43" s="42" t="str">
        <f>=IF(ISBLANK(Q43), "", "Hayır")</f>
      </c>
      <c r="U43" s="43"/>
      <c r="V43" s="44" t="inlineStr">
        <is>
          <t>d2f254a0-65f7-44d2-8851-dd71e719ef4e</t>
        </is>
      </c>
    </row>
    <row r="44">
      <c r="A44" s="23" t="inlineStr">
        <is>
          <t>10 ADET Sopalı Türk Bayrağı 20x30 cm – Raşel Kumaş, Çift Dikiş, Dayanıklı Küçük Ebat</t>
        </is>
      </c>
      <c r="B44" s="24" t="inlineStr">
        <is>
          <t>992587120</t>
        </is>
      </c>
      <c r="C44" s="25" t="inlineStr">
        <is>
          <t>8697654321235</t>
        </is>
      </c>
      <c r="D44" s="26" t="inlineStr">
        <is>
          <t>TB-RSL-SOPALI-10-20x30</t>
        </is>
      </c>
      <c r="E44" s="27"/>
      <c r="F44" s="28" t="inlineStr">
        <is>
          <t>TB-RSL-SOPALI-10-20x30</t>
        </is>
      </c>
      <c r="G44" s="29" t="inlineStr">
        <is>
          <t>Bayrak</t>
        </is>
      </c>
      <c r="H44" s="30" t="inlineStr">
        <is>
          <t>AKYILDIZ store</t>
        </is>
      </c>
      <c r="I44" s="31" t="n">
        <v>1966.0</v>
      </c>
      <c r="J44" s="32" t="n">
        <v>285.0</v>
      </c>
      <c r="K44" s="33" t="n">
        <v>270.75</v>
      </c>
      <c r="L44" s="34" t="n">
        <v>19.0</v>
      </c>
      <c r="M44" s="35" t="n">
        <v>211.61</v>
      </c>
      <c r="N44" s="36" t="inlineStr">
        <is>
          <t>30 Haziran 08.00-7 Temmuz 07.59</t>
        </is>
      </c>
      <c r="O44" s="37" t="n">
        <v>11.8</v>
      </c>
      <c r="P44" s="38" t="n">
        <v>270.75</v>
      </c>
      <c r="Q44" s="39"/>
      <c r="R44" s="40" t="n">
        <f>=IF(AND(ISBLANK(Q44), ISBLANK(U44)), "", "7 Günlük Fiyat")</f>
        <v>0.0</v>
      </c>
      <c r="S44" s="41" t="n">
        <f>=IF(OR(Q44="", R44=""), "-", IF(ISNUMBER(SEARCH("7 Günlük", R44)), IF(Q44&lt;=M44, O44, "-"), "-"))</f>
        <v>0.0</v>
      </c>
      <c r="T44" s="42" t="str">
        <f>=IF(ISBLANK(Q44), "", "Hayır")</f>
      </c>
      <c r="U44" s="43"/>
      <c r="V44" s="44" t="inlineStr">
        <is>
          <t>d2f254a0-65f7-44d2-8851-dd71e719ef4e</t>
        </is>
      </c>
    </row>
    <row r="45">
      <c r="A45" s="23" t="inlineStr">
        <is>
          <t>100x150 cm Atatürk Baskılı Türk Bayrağı – Raşel Kumaş, Çift Dikiş, Solmaz Renk</t>
        </is>
      </c>
      <c r="B45" s="24" t="inlineStr">
        <is>
          <t>990830184</t>
        </is>
      </c>
      <c r="C45" s="25" t="inlineStr">
        <is>
          <t>8697654321181</t>
        </is>
      </c>
      <c r="D45" s="26" t="inlineStr">
        <is>
          <t>ATB-100x150-RS</t>
        </is>
      </c>
      <c r="E45" s="27"/>
      <c r="F45" s="28" t="inlineStr">
        <is>
          <t>ATB-100x150-RS</t>
        </is>
      </c>
      <c r="G45" s="29" t="inlineStr">
        <is>
          <t>Bayrak</t>
        </is>
      </c>
      <c r="H45" s="30" t="inlineStr">
        <is>
          <t>AKYILDIZ store</t>
        </is>
      </c>
      <c r="I45" s="31" t="n">
        <v>20.0</v>
      </c>
      <c r="J45" s="32" t="n">
        <v>355.95</v>
      </c>
      <c r="K45" s="33" t="n">
        <v>338.15</v>
      </c>
      <c r="L45" s="34" t="n">
        <v>19.0</v>
      </c>
      <c r="M45" s="35" t="n">
        <v>243.7</v>
      </c>
      <c r="N45" s="36" t="inlineStr">
        <is>
          <t>30 Haziran 08.00-7 Temmuz 07.59</t>
        </is>
      </c>
      <c r="O45" s="37" t="n">
        <v>10.5</v>
      </c>
      <c r="P45" s="38" t="n">
        <v>338.15</v>
      </c>
      <c r="Q45" s="39"/>
      <c r="R45" s="40" t="n">
        <f>=IF(AND(ISBLANK(Q45), ISBLANK(U45)), "", "7 Günlük Fiyat")</f>
        <v>0.0</v>
      </c>
      <c r="S45" s="41" t="n">
        <f>=IF(OR(Q45="", R45=""), "-", IF(ISNUMBER(SEARCH("7 Günlük", R45)), IF(Q45&lt;=M45, O45, "-"), "-"))</f>
        <v>0.0</v>
      </c>
      <c r="T45" s="42" t="str">
        <f>=IF(ISBLANK(Q45), "", "Hayır")</f>
      </c>
      <c r="U45" s="43"/>
      <c r="V45" s="44" t="inlineStr">
        <is>
          <t>d2f254a0-65f7-44d2-8851-dd71e719ef4e</t>
        </is>
      </c>
    </row>
    <row r="46">
      <c r="A46" s="23" t="inlineStr">
        <is>
          <t>Türk Bayrağı 700x1050 cm (7 x 10,5 metre) - Raşel Kumaş Büyük Ebat Dış Mekân Direk</t>
        </is>
      </c>
      <c r="B46" s="24" t="inlineStr">
        <is>
          <t>986921199</t>
        </is>
      </c>
      <c r="C46" s="25" t="inlineStr">
        <is>
          <t>8697654321705</t>
        </is>
      </c>
      <c r="D46" s="26" t="inlineStr">
        <is>
          <t>TB-RSL-700x1050</t>
        </is>
      </c>
      <c r="E46" s="27"/>
      <c r="F46" s="28" t="inlineStr">
        <is>
          <t>TBR-RAS-700x1050</t>
        </is>
      </c>
      <c r="G46" s="29" t="inlineStr">
        <is>
          <t>Bayrak</t>
        </is>
      </c>
      <c r="H46" s="30" t="inlineStr">
        <is>
          <t>AKYILDIZ store</t>
        </is>
      </c>
      <c r="I46" s="31" t="n">
        <v>46.0</v>
      </c>
      <c r="J46" s="32" t="n">
        <v>9345.0</v>
      </c>
      <c r="K46" s="33" t="n">
        <v>8877.75</v>
      </c>
      <c r="L46" s="34" t="n">
        <v>19.0</v>
      </c>
      <c r="M46" s="35" t="n">
        <v>7211.23</v>
      </c>
      <c r="N46" s="36" t="inlineStr">
        <is>
          <t>30 Haziran 08.00-7 Temmuz 07.59</t>
        </is>
      </c>
      <c r="O46" s="37" t="n">
        <v>13.7</v>
      </c>
      <c r="P46" s="38" t="n">
        <v>8877.75</v>
      </c>
      <c r="Q46" s="39"/>
      <c r="R46" s="40" t="n">
        <f>=IF(AND(ISBLANK(Q46), ISBLANK(U46)), "", "7 Günlük Fiyat")</f>
        <v>0.0</v>
      </c>
      <c r="S46" s="41" t="n">
        <f>=IF(OR(Q46="", R46=""), "-", IF(ISNUMBER(SEARCH("7 Günlük", R46)), IF(Q46&lt;=M46, O46, "-"), "-"))</f>
        <v>0.0</v>
      </c>
      <c r="T46" s="42" t="str">
        <f>=IF(ISBLANK(Q46), "", "Hayır")</f>
      </c>
      <c r="U46" s="43"/>
      <c r="V46" s="44" t="inlineStr">
        <is>
          <t>d2f254a0-65f7-44d2-8851-dd71e719ef4e</t>
        </is>
      </c>
    </row>
    <row r="47">
      <c r="A47" s="23" t="inlineStr">
        <is>
          <t>Türk Bayrağı 500x750 cm Dış Mekan Direk Tören Kullanımı</t>
        </is>
      </c>
      <c r="B47" s="24" t="inlineStr">
        <is>
          <t>984223447</t>
        </is>
      </c>
      <c r="C47" s="25" t="inlineStr">
        <is>
          <t>8697654321750</t>
        </is>
      </c>
      <c r="D47" s="26" t="inlineStr">
        <is>
          <t>TBR-RAS-500x750</t>
        </is>
      </c>
      <c r="E47" s="27"/>
      <c r="F47" s="28" t="inlineStr">
        <is>
          <t>TB-RSL-500x750</t>
        </is>
      </c>
      <c r="G47" s="29" t="inlineStr">
        <is>
          <t>Bayrak</t>
        </is>
      </c>
      <c r="H47" s="30" t="inlineStr">
        <is>
          <t>AKYILDIZ store</t>
        </is>
      </c>
      <c r="I47" s="31" t="n">
        <v>49.0</v>
      </c>
      <c r="J47" s="32" t="n">
        <v>4410.0</v>
      </c>
      <c r="K47" s="33" t="n">
        <v>4189.5</v>
      </c>
      <c r="L47" s="34" t="n">
        <v>19.0</v>
      </c>
      <c r="M47" s="35" t="n">
        <v>3002.91</v>
      </c>
      <c r="N47" s="36" t="inlineStr">
        <is>
          <t>30 Haziran 08.00-7 Temmuz 07.59</t>
        </is>
      </c>
      <c r="O47" s="37" t="n">
        <v>8.6</v>
      </c>
      <c r="P47" s="38" t="n">
        <v>4189.5</v>
      </c>
      <c r="Q47" s="39"/>
      <c r="R47" s="40" t="n">
        <f>=IF(AND(ISBLANK(Q47), ISBLANK(U47)), "", "7 Günlük Fiyat")</f>
        <v>0.0</v>
      </c>
      <c r="S47" s="41" t="n">
        <f>=IF(OR(Q47="", R47=""), "-", IF(ISNUMBER(SEARCH("7 Günlük", R47)), IF(Q47&lt;=M47, O47, "-"), "-"))</f>
        <v>0.0</v>
      </c>
      <c r="T47" s="42" t="str">
        <f>=IF(ISBLANK(Q47), "", "Hayır")</f>
      </c>
      <c r="U47" s="43"/>
      <c r="V47" s="44" t="inlineStr">
        <is>
          <t>d2f254a0-65f7-44d2-8851-dd71e719ef4e</t>
        </is>
      </c>
    </row>
    <row r="48">
      <c r="A48" s="23" t="inlineStr">
        <is>
          <t>Türk Bayrağı 400x600 cm - Raşel Kumaş 1. Kalite</t>
        </is>
      </c>
      <c r="B48" s="24" t="inlineStr">
        <is>
          <t>858165964</t>
        </is>
      </c>
      <c r="C48" s="25" t="inlineStr">
        <is>
          <t>TYBV8U2HKSUFG3JI59</t>
        </is>
      </c>
      <c r="D48" s="26" t="inlineStr">
        <is>
          <t/>
        </is>
      </c>
      <c r="E48" s="27"/>
      <c r="F48" s="28" t="inlineStr">
        <is>
          <t>EsiByrk600x600Rsl</t>
        </is>
      </c>
      <c r="G48" s="29" t="inlineStr">
        <is>
          <t>Bayrak</t>
        </is>
      </c>
      <c r="H48" s="30" t="inlineStr">
        <is>
          <t>Bayrak</t>
        </is>
      </c>
      <c r="I48" s="31" t="n">
        <v>44.0</v>
      </c>
      <c r="J48" s="32" t="n">
        <v>2600.0</v>
      </c>
      <c r="K48" s="33" t="n">
        <v>2600.0</v>
      </c>
      <c r="L48" s="34" t="n">
        <v>19.0</v>
      </c>
      <c r="M48" s="35" t="n">
        <v>1931.16</v>
      </c>
      <c r="N48" s="36" t="inlineStr">
        <is>
          <t>30 Haziran 08.00-7 Temmuz 07.59</t>
        </is>
      </c>
      <c r="O48" s="37" t="n">
        <v>13.5</v>
      </c>
      <c r="P48" s="38" t="n">
        <v>2600.0</v>
      </c>
      <c r="Q48" s="39"/>
      <c r="R48" s="40" t="n">
        <f>=IF(AND(ISBLANK(Q48), ISBLANK(U48)), "", "7 Günlük Fiyat")</f>
        <v>0.0</v>
      </c>
      <c r="S48" s="41" t="n">
        <f>=IF(OR(Q48="", R48=""), "-", IF(ISNUMBER(SEARCH("7 Günlük", R48)), IF(Q48&lt;=M48, O48, "-"), "-"))</f>
        <v>0.0</v>
      </c>
      <c r="T48" s="42" t="str">
        <f>=IF(ISBLANK(Q48), "", "Hayır")</f>
      </c>
      <c r="U48" s="43"/>
      <c r="V48" s="44" t="inlineStr">
        <is>
          <t>d2f254a0-65f7-44d2-8851-dd71e719ef4e</t>
        </is>
      </c>
    </row>
    <row r="49">
      <c r="A49" s="23" t="inlineStr">
        <is>
          <t>Türk Bayrağı 300x450 cm  1.Kalite Raşel Kumaş</t>
        </is>
      </c>
      <c r="B49" s="24" t="inlineStr">
        <is>
          <t>850536240</t>
        </is>
      </c>
      <c r="C49" s="25" t="inlineStr">
        <is>
          <t>21887469688</t>
        </is>
      </c>
      <c r="D49" s="26" t="inlineStr">
        <is>
          <t/>
        </is>
      </c>
      <c r="E49" s="27"/>
      <c r="F49" s="28" t="inlineStr">
        <is>
          <t>BLSN101</t>
        </is>
      </c>
      <c r="G49" s="29" t="inlineStr">
        <is>
          <t>Bayrak</t>
        </is>
      </c>
      <c r="H49" s="30" t="inlineStr">
        <is>
          <t>Bilsan</t>
        </is>
      </c>
      <c r="I49" s="31" t="n">
        <v>30.0</v>
      </c>
      <c r="J49" s="32" t="n">
        <v>1399.0</v>
      </c>
      <c r="K49" s="33" t="n">
        <v>1399.0</v>
      </c>
      <c r="L49" s="34" t="n">
        <v>19.0</v>
      </c>
      <c r="M49" s="35" t="n">
        <v>1136.18</v>
      </c>
      <c r="N49" s="36" t="inlineStr">
        <is>
          <t>30 Haziran 08.00-7 Temmuz 07.59</t>
        </is>
      </c>
      <c r="O49" s="37" t="n">
        <v>14.3</v>
      </c>
      <c r="P49" s="38" t="n">
        <v>1399.0</v>
      </c>
      <c r="Q49" s="39"/>
      <c r="R49" s="40" t="n">
        <f>=IF(AND(ISBLANK(Q49), ISBLANK(U49)), "", "7 Günlük Fiyat")</f>
        <v>0.0</v>
      </c>
      <c r="S49" s="41" t="n">
        <f>=IF(OR(Q49="", R49=""), "-", IF(ISNUMBER(SEARCH("7 Günlük", R49)), IF(Q49&lt;=M49, O49, "-"), "-"))</f>
        <v>0.0</v>
      </c>
      <c r="T49" s="42" t="str">
        <f>=IF(ISBLANK(Q49), "", "Hayır")</f>
      </c>
      <c r="U49" s="43"/>
      <c r="V49" s="44" t="inlineStr">
        <is>
          <t>d2f254a0-65f7-44d2-8851-dd71e719ef4e</t>
        </is>
      </c>
    </row>
    <row r="50">
      <c r="A50" s="23" t="inlineStr">
        <is>
          <t>Türk Bayrağı 100x150 cm 1.Kalite raşel Kumaş</t>
        </is>
      </c>
      <c r="B50" s="24" t="inlineStr">
        <is>
          <t>850533998</t>
        </is>
      </c>
      <c r="C50" s="25" t="inlineStr">
        <is>
          <t>21887469678</t>
        </is>
      </c>
      <c r="D50" s="26"/>
      <c r="E50" s="27"/>
      <c r="F50" s="28" t="inlineStr">
        <is>
          <t>TYCJ8TO5ON172379188933287</t>
        </is>
      </c>
      <c r="G50" s="29" t="inlineStr">
        <is>
          <t>Bayrak</t>
        </is>
      </c>
      <c r="H50" s="30" t="inlineStr">
        <is>
          <t>Bilsan</t>
        </is>
      </c>
      <c r="I50" s="31" t="n">
        <v>993.0</v>
      </c>
      <c r="J50" s="32" t="n">
        <v>390.0</v>
      </c>
      <c r="K50" s="33" t="n">
        <v>390.0</v>
      </c>
      <c r="L50" s="34" t="n">
        <v>19.0</v>
      </c>
      <c r="M50" s="35" t="n">
        <v>220.55</v>
      </c>
      <c r="N50" s="36" t="inlineStr">
        <is>
          <t>30 Haziran 08.00-7 Temmuz 07.59</t>
        </is>
      </c>
      <c r="O50" s="37" t="n">
        <v>8.4</v>
      </c>
      <c r="P50" s="38" t="n">
        <v>390.0</v>
      </c>
      <c r="Q50" s="39"/>
      <c r="R50" s="40" t="n">
        <f>=IF(AND(ISBLANK(Q50), ISBLANK(U50)), "", "7 Günlük Fiyat")</f>
        <v>0.0</v>
      </c>
      <c r="S50" s="41" t="n">
        <f>=IF(OR(Q50="", R50=""), "-", IF(ISNUMBER(SEARCH("7 Günlük", R50)), IF(Q50&lt;=M50, O50, "-"), "-"))</f>
        <v>0.0</v>
      </c>
      <c r="T50" s="42" t="str">
        <f>=IF(ISBLANK(Q50), "", "Hayır")</f>
      </c>
      <c r="U50" s="43"/>
      <c r="V50" s="44" t="inlineStr">
        <is>
          <t>d2f254a0-65f7-44d2-8851-dd71e719ef4e</t>
        </is>
      </c>
    </row>
    <row r="51">
      <c r="A51" s="23" t="inlineStr">
        <is>
          <t>Atatürk Baskılı Türk Bayrağı Atatürk Posteri 70x105 Cm Raşel Kumaş Dijital Baskı</t>
        </is>
      </c>
      <c r="B51" s="24" t="inlineStr">
        <is>
          <t>760035155</t>
        </is>
      </c>
      <c r="C51" s="25" t="inlineStr">
        <is>
          <t>ATA70X105R</t>
        </is>
      </c>
      <c r="D51" s="26" t="inlineStr">
        <is>
          <t/>
        </is>
      </c>
      <c r="E51" s="27"/>
      <c r="F51" s="28" t="inlineStr">
        <is>
          <t>ATA70X105R</t>
        </is>
      </c>
      <c r="G51" s="29" t="inlineStr">
        <is>
          <t>Bayrak</t>
        </is>
      </c>
      <c r="H51" s="30" t="inlineStr">
        <is>
          <t>Raşel kumaş</t>
        </is>
      </c>
      <c r="I51" s="31" t="n">
        <v>14.0</v>
      </c>
      <c r="J51" s="32" t="n">
        <v>180.0</v>
      </c>
      <c r="K51" s="33" t="n">
        <v>180.0</v>
      </c>
      <c r="L51" s="34" t="n">
        <v>19.0</v>
      </c>
      <c r="M51" s="35" t="n">
        <v>117.48</v>
      </c>
      <c r="N51" s="36" t="inlineStr">
        <is>
          <t>30 Haziran 08.00-7 Temmuz 07.59</t>
        </is>
      </c>
      <c r="O51" s="37" t="n">
        <v>14.2</v>
      </c>
      <c r="P51" s="38" t="n">
        <v>180.0</v>
      </c>
      <c r="Q51" s="39"/>
      <c r="R51" s="40" t="n">
        <f>=IF(AND(ISBLANK(Q51), ISBLANK(U51)), "", "7 Günlük Fiyat")</f>
        <v>0.0</v>
      </c>
      <c r="S51" s="41" t="n">
        <f>=IF(OR(Q51="", R51=""), "-", IF(ISNUMBER(SEARCH("7 Günlük", R51)), IF(Q51&lt;=M51, O51, "-"), "-"))</f>
        <v>0.0</v>
      </c>
      <c r="T51" s="42" t="str">
        <f>=IF(ISBLANK(Q51), "", "Hayır")</f>
      </c>
      <c r="U51" s="43"/>
      <c r="V51" s="44" t="inlineStr">
        <is>
          <t>d2f254a0-65f7-44d2-8851-dd71e719ef4e</t>
        </is>
      </c>
    </row>
    <row r="52">
      <c r="A52" s="23" t="inlineStr">
        <is>
          <t>50x75 CM ATATÜRK BASKILI TÜRK BAYRAĞI ATATÜRK POSTERİ RAŞEL KUMAŞ</t>
        </is>
      </c>
      <c r="B52" s="24" t="inlineStr">
        <is>
          <t>758573889</t>
        </is>
      </c>
      <c r="C52" s="25" t="inlineStr">
        <is>
          <t>ATA50X75R</t>
        </is>
      </c>
      <c r="D52" s="26"/>
      <c r="E52" s="27"/>
      <c r="F52" s="28" t="inlineStr">
        <is>
          <t>ATA50X75R</t>
        </is>
      </c>
      <c r="G52" s="29" t="inlineStr">
        <is>
          <t>Bayrak</t>
        </is>
      </c>
      <c r="H52" s="30" t="inlineStr">
        <is>
          <t>Raşel kumaş</t>
        </is>
      </c>
      <c r="I52" s="31" t="n">
        <v>97.0</v>
      </c>
      <c r="J52" s="32" t="n">
        <v>120.0</v>
      </c>
      <c r="K52" s="33" t="n">
        <v>120.0</v>
      </c>
      <c r="L52" s="34" t="n">
        <v>19.0</v>
      </c>
      <c r="M52" s="35" t="n">
        <v>60.41</v>
      </c>
      <c r="N52" s="36" t="inlineStr">
        <is>
          <t>30 Haziran 08.00-7 Temmuz 07.59</t>
        </is>
      </c>
      <c r="O52" s="37" t="n">
        <v>3.5</v>
      </c>
      <c r="P52" s="38" t="n">
        <v>120.0</v>
      </c>
      <c r="Q52" s="39"/>
      <c r="R52" s="40" t="n">
        <f>=IF(AND(ISBLANK(Q52), ISBLANK(U52)), "", "7 Günlük Fiyat")</f>
        <v>0.0</v>
      </c>
      <c r="S52" s="41" t="n">
        <f>=IF(OR(Q52="", R52=""), "-", IF(ISNUMBER(SEARCH("7 Günlük", R52)), IF(Q52&lt;=M52, O52, "-"), "-"))</f>
        <v>0.0</v>
      </c>
      <c r="T52" s="42" t="str">
        <f>=IF(ISBLANK(Q52), "", "Hayır")</f>
      </c>
      <c r="U52" s="43"/>
      <c r="V52" s="44" t="inlineStr">
        <is>
          <t>d2f254a0-65f7-44d2-8851-dd71e719ef4e</t>
        </is>
      </c>
    </row>
    <row r="53">
      <c r="A53" s="23" t="inlineStr">
        <is>
          <t>400x600 Cm Türk Bayrağı</t>
        </is>
      </c>
      <c r="B53" s="24" t="inlineStr">
        <is>
          <t>412040126</t>
        </is>
      </c>
      <c r="C53" s="25" t="inlineStr">
        <is>
          <t>TB400X600R</t>
        </is>
      </c>
      <c r="D53" s="26" t="inlineStr">
        <is>
          <t/>
        </is>
      </c>
      <c r="E53" s="27"/>
      <c r="F53" s="28" t="inlineStr">
        <is>
          <t>TB400X600R</t>
        </is>
      </c>
      <c r="G53" s="29" t="inlineStr">
        <is>
          <t>Bayrak</t>
        </is>
      </c>
      <c r="H53" s="30" t="inlineStr">
        <is>
          <t>Raşel kumaş</t>
        </is>
      </c>
      <c r="I53" s="31" t="n">
        <v>33.0</v>
      </c>
      <c r="J53" s="32" t="n">
        <v>2600.0</v>
      </c>
      <c r="K53" s="33" t="n">
        <v>2600.0</v>
      </c>
      <c r="L53" s="34" t="n">
        <v>19.0</v>
      </c>
      <c r="M53" s="35" t="n">
        <v>2150.42</v>
      </c>
      <c r="N53" s="36" t="inlineStr">
        <is>
          <t>30 Haziran 08.00-7 Temmuz 07.59</t>
        </is>
      </c>
      <c r="O53" s="37" t="n">
        <v>16.0</v>
      </c>
      <c r="P53" s="38" t="n">
        <v>2600.0</v>
      </c>
      <c r="Q53" s="39"/>
      <c r="R53" s="40" t="n">
        <f>=IF(AND(ISBLANK(Q53), ISBLANK(U53)), "", "7 Günlük Fiyat")</f>
        <v>0.0</v>
      </c>
      <c r="S53" s="41" t="n">
        <f>=IF(OR(Q53="", R53=""), "-", IF(ISNUMBER(SEARCH("7 Günlük", R53)), IF(Q53&lt;=M53, O53, "-"), "-"))</f>
        <v>0.0</v>
      </c>
      <c r="T53" s="42" t="str">
        <f>=IF(ISBLANK(Q53), "", "Hayır")</f>
      </c>
      <c r="U53" s="43"/>
      <c r="V53" s="44" t="inlineStr">
        <is>
          <t>d2f254a0-65f7-44d2-8851-dd71e719ef4e</t>
        </is>
      </c>
    </row>
    <row r="54">
      <c r="A54" s="23" t="inlineStr">
        <is>
          <t>Türk Bayrağı 30x45 Cm Özel Alpaka Kumaş Bez Bayrak</t>
        </is>
      </c>
      <c r="B54" s="24" t="inlineStr">
        <is>
          <t>39277598</t>
        </is>
      </c>
      <c r="C54" s="25" t="inlineStr">
        <is>
          <t>8697603068593</t>
        </is>
      </c>
      <c r="D54" s="26"/>
      <c r="E54" s="27"/>
      <c r="F54" s="28" t="inlineStr">
        <is>
          <t>ultsST08674</t>
        </is>
      </c>
      <c r="G54" s="29" t="inlineStr">
        <is>
          <t>Bayrak</t>
        </is>
      </c>
      <c r="H54" s="30" t="inlineStr">
        <is>
          <t>Abka</t>
        </is>
      </c>
      <c r="I54" s="31" t="n">
        <v>977.0</v>
      </c>
      <c r="J54" s="32" t="n">
        <v>150.0</v>
      </c>
      <c r="K54" s="33" t="n">
        <v>87.19</v>
      </c>
      <c r="L54" s="34" t="n">
        <v>17.6</v>
      </c>
      <c r="M54" s="35" t="n">
        <v>68.31</v>
      </c>
      <c r="N54" s="36" t="inlineStr">
        <is>
          <t>30 Haziran 08.00-7 Temmuz 07.59</t>
        </is>
      </c>
      <c r="O54" s="37" t="n">
        <v>8.3</v>
      </c>
      <c r="P54" s="38" t="n">
        <v>87.19</v>
      </c>
      <c r="Q54" s="39"/>
      <c r="R54" s="40" t="n">
        <f>=IF(AND(ISBLANK(Q54), ISBLANK(U54)), "", "7 Günlük Fiyat")</f>
        <v>0.0</v>
      </c>
      <c r="S54" s="41" t="n">
        <f>=IF(OR(Q54="", R54=""), "-", IF(ISNUMBER(SEARCH("7 Günlük", R54)), IF(Q54&lt;=M54, O54, "-"), "-"))</f>
        <v>0.0</v>
      </c>
      <c r="T54" s="42" t="str">
        <f>=IF(ISBLANK(Q54), "", "Hayır")</f>
      </c>
      <c r="U54" s="43"/>
      <c r="V54" s="44" t="inlineStr">
        <is>
          <t>d2f254a0-65f7-44d2-8851-dd71e719ef4e</t>
        </is>
      </c>
    </row>
    <row r="55">
      <c r="A55" s="23" t="inlineStr">
        <is>
          <t>200x300 Türk Bayrağı – 1. Kalite Kumaş</t>
        </is>
      </c>
      <c r="B55" s="24" t="inlineStr">
        <is>
          <t>6390881</t>
        </is>
      </c>
      <c r="C55" s="25" t="inlineStr">
        <is>
          <t>8694430000048</t>
        </is>
      </c>
      <c r="D55" s="26" t="inlineStr">
        <is>
          <t/>
        </is>
      </c>
      <c r="E55" s="27"/>
      <c r="F55" s="28" t="inlineStr">
        <is>
          <t>113111</t>
        </is>
      </c>
      <c r="G55" s="29" t="inlineStr">
        <is>
          <t>Bayrak</t>
        </is>
      </c>
      <c r="H55" s="30" t="inlineStr">
        <is>
          <t>Buket</t>
        </is>
      </c>
      <c r="I55" s="31" t="n">
        <v>49.0</v>
      </c>
      <c r="J55" s="32" t="n">
        <v>900.0</v>
      </c>
      <c r="K55" s="33" t="n">
        <v>900.0</v>
      </c>
      <c r="L55" s="34" t="n">
        <v>19.0</v>
      </c>
      <c r="M55" s="35" t="n">
        <v>691.45</v>
      </c>
      <c r="N55" s="36" t="inlineStr">
        <is>
          <t>30 Haziran 08.00-7 Temmuz 07.59</t>
        </is>
      </c>
      <c r="O55" s="37" t="n">
        <v>14.7</v>
      </c>
      <c r="P55" s="38" t="n">
        <v>900.0</v>
      </c>
      <c r="Q55" s="39"/>
      <c r="R55" s="40" t="n">
        <f>=IF(AND(ISBLANK(Q55), ISBLANK(U55)), "", "7 Günlük Fiyat")</f>
        <v>0.0</v>
      </c>
      <c r="S55" s="41" t="n">
        <f>=IF(OR(Q55="", R55=""), "-", IF(ISNUMBER(SEARCH("7 Günlük", R55)), IF(Q55&lt;=M55, O55, "-"), "-"))</f>
        <v>0.0</v>
      </c>
      <c r="T55" s="42" t="str">
        <f>=IF(ISBLANK(Q55), "", "Hayır")</f>
      </c>
      <c r="U55" s="43"/>
      <c r="V55" s="44" t="inlineStr">
        <is>
          <t>d2f254a0-65f7-44d2-8851-dd71e719ef4e</t>
        </is>
      </c>
    </row>
    <row r="56">
      <c r="A56" s="23" t="inlineStr">
        <is>
          <t>400x600 Cm Alpaka Kumaş Türk Bayrağı</t>
        </is>
      </c>
      <c r="B56" s="24" t="inlineStr">
        <is>
          <t>51851591</t>
        </is>
      </c>
      <c r="C56" s="25" t="inlineStr">
        <is>
          <t>TYB5EFHHSUF53HP658</t>
        </is>
      </c>
      <c r="D56" s="26" t="inlineStr">
        <is>
          <t/>
        </is>
      </c>
      <c r="E56" s="27"/>
      <c r="F56" s="28" t="inlineStr">
        <is>
          <t>400x600cm</t>
        </is>
      </c>
      <c r="G56" s="29" t="inlineStr">
        <is>
          <t>Bayrak</t>
        </is>
      </c>
      <c r="H56" s="30" t="inlineStr">
        <is>
          <t>Raşel kumaş</t>
        </is>
      </c>
      <c r="I56" s="31" t="n">
        <v>50.0</v>
      </c>
      <c r="J56" s="32" t="n">
        <v>2600.0</v>
      </c>
      <c r="K56" s="33" t="n">
        <v>2600.0</v>
      </c>
      <c r="L56" s="34" t="n">
        <v>19.0</v>
      </c>
      <c r="M56" s="35" t="n">
        <v>1777.92</v>
      </c>
      <c r="N56" s="36" t="inlineStr">
        <is>
          <t>30 Haziran 08.00-7 Temmuz 07.59</t>
        </is>
      </c>
      <c r="O56" s="37" t="n">
        <v>8.6</v>
      </c>
      <c r="P56" s="38" t="n">
        <v>2600.0</v>
      </c>
      <c r="Q56" s="39"/>
      <c r="R56" s="40" t="n">
        <f>=IF(AND(ISBLANK(Q56), ISBLANK(U56)), "", "7 Günlük Fiyat")</f>
        <v>0.0</v>
      </c>
      <c r="S56" s="41" t="n">
        <f>=IF(OR(Q56="", R56=""), "-", IF(ISNUMBER(SEARCH("7 Günlük", R56)), IF(Q56&lt;=M56, O56, "-"), "-"))</f>
        <v>0.0</v>
      </c>
      <c r="T56" s="42" t="str">
        <f>=IF(ISBLANK(Q56), "", "Hayır")</f>
      </c>
      <c r="U56" s="43"/>
      <c r="V56" s="44" t="inlineStr">
        <is>
          <t>d2f254a0-65f7-44d2-8851-dd71e719ef4e</t>
        </is>
      </c>
    </row>
  </sheetData>
  <dataValidations count="2">
    <dataValidation type="list" sqref="R2:R56" allowBlank="true" errorStyle="stop">
      <formula1>"7 Günlük Fiyat"</formula1>
    </dataValidation>
    <dataValidation type="list" sqref="T2:T56" allowBlank="true" errorStyle="stop">
      <formula1>"Evet,Hayır"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2026-07-02T20:47:32Z</dcterms:created>
  <dc:creator>Apache POI</dc:creator>
</cp:coreProperties>
</file>