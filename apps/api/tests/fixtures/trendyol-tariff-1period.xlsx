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misyonTarifeleriÜrünleri" sheetId="1" r:id="rId1"/>
  </sheets>
  <calcPr calcId="124519" fullCalcOnLoad="1"/>
</workbook>
</file>

<file path=xl/sharedStrings.xml><?xml version="1.0" encoding="utf-8"?>
<sst xmlns="http://schemas.openxmlformats.org/spreadsheetml/2006/main" count="438" uniqueCount="196">
  <si>
    <t>ÜRÜN İSMİ</t>
  </si>
  <si>
    <t>BARKOD</t>
  </si>
  <si>
    <t>SATICI STOK KODU</t>
  </si>
  <si>
    <t>BEDEN</t>
  </si>
  <si>
    <t>MODEL KODU</t>
  </si>
  <si>
    <t>KATEGORİ</t>
  </si>
  <si>
    <t>MARKA</t>
  </si>
  <si>
    <t>STOK</t>
  </si>
  <si>
    <t>1.Fiyat Alt Limit</t>
  </si>
  <si>
    <t>2.Fiyat Üst Limiti</t>
  </si>
  <si>
    <t>2.Fiyat Alt Limit</t>
  </si>
  <si>
    <t>3.Fiyat Üst Limiti</t>
  </si>
  <si>
    <t>3.Fiyat Alt Limit</t>
  </si>
  <si>
    <t>4.Fiyat Üst Limiti</t>
  </si>
  <si>
    <t>Tarih aralığı (7 Gün)</t>
  </si>
  <si>
    <t>1.KOMİSYON</t>
  </si>
  <si>
    <t>2.KOMİSYON</t>
  </si>
  <si>
    <t>3.KOMİSYON</t>
  </si>
  <si>
    <t>4.KOMİSYON</t>
  </si>
  <si>
    <t>KOMİSYONA ESAS FİYAT</t>
  </si>
  <si>
    <t>GÜNCEL KOMİSYON</t>
  </si>
  <si>
    <t>GÜNCEL TSF</t>
  </si>
  <si>
    <t>YENİ TSF (FİYAT GÜNCELLE)</t>
  </si>
  <si>
    <t>Hesaplanan Komisyon (7 Gün)</t>
  </si>
  <si>
    <t>Tarife Seçimi</t>
  </si>
  <si>
    <t>EXTERNAL ID</t>
  </si>
  <si>
    <t>TARİFE GRUBU</t>
  </si>
  <si>
    <t>Büyük Boy Türk Bayrağı 300×450 (3m x 4.5m) – Raşel Kumaş, Tok Duruş, Çift Dikiş</t>
  </si>
  <si>
    <t>2903004500010</t>
  </si>
  <si>
    <t>TBR-RAS-300x450</t>
  </si>
  <si>
    <t>Bayrak</t>
  </si>
  <si>
    <t>AKYILDIZ store</t>
  </si>
  <si>
    <t>30 Haziran 08.00-7 Temmuz 07.59</t>
  </si>
  <si>
    <t>7 Günlük Fiyat</t>
  </si>
  <si>
    <t>6aa5cada66de3d9c982dc764a26c2c43</t>
  </si>
  <si>
    <t>100x150 Cm Kumaş Türk Bayrağı</t>
  </si>
  <si>
    <t>TB100X150A</t>
  </si>
  <si>
    <t>Alpaka</t>
  </si>
  <si>
    <t>50x75 Cm Kumaş Türk Bayrağı</t>
  </si>
  <si>
    <t>TB50X75A</t>
  </si>
  <si>
    <t>Türk Bayrağı 60x90 cm - Kaliteli Alpaka Kumaş - İç ve Dış Mekana Uygun</t>
  </si>
  <si>
    <t>2002030043093</t>
  </si>
  <si>
    <t>TRB-ALP-6090</t>
  </si>
  <si>
    <t>Raşel Türk Bayrağı 100×150 cm – Kaliteli Üretim</t>
  </si>
  <si>
    <t>8569742369822</t>
  </si>
  <si>
    <t>TBR-RAS-100x150</t>
  </si>
  <si>
    <t>TRB100150</t>
  </si>
  <si>
    <t>60x90 Cm Kumaş Türk Bayrağı</t>
  </si>
  <si>
    <t>TB60X90A</t>
  </si>
  <si>
    <t>Türk Bayrağı 120×180 cm (1,2 x 1,8 metre) – Canlı ve Parlak Raşel Kumaş, Çift Dikiş</t>
  </si>
  <si>
    <t>85697423698</t>
  </si>
  <si>
    <t>96587422214778</t>
  </si>
  <si>
    <t>23645f78988d</t>
  </si>
  <si>
    <t>Türk Bayrağı 200×300 cm (2x3 metre) – Raşel Kumaş, Çift Dikiş</t>
  </si>
  <si>
    <t>2902003000019</t>
  </si>
  <si>
    <t>TBR-RAS-200x300</t>
  </si>
  <si>
    <t>Türk Bayrağı 100x150 cm 1.Kalite raşel Kumaş</t>
  </si>
  <si>
    <t>21887469678</t>
  </si>
  <si>
    <t>TYCJ8TO5ON172379188933287</t>
  </si>
  <si>
    <t>Bilsan</t>
  </si>
  <si>
    <t>150x225 Cm Kumaş Türk Bayrağı - Oda Duvarını Boyut Olarak Boydan Kaplar</t>
  </si>
  <si>
    <t>TB150X225A</t>
  </si>
  <si>
    <t>10 Adet 20x30 Cm - Bez Kumaş Sopalı Türk Bayrağı</t>
  </si>
  <si>
    <t>STB20X30AS10</t>
  </si>
  <si>
    <t>Türk Bayrak 50x75 Cm Alpaka Türk Bayrağı 50x70 Alpaka 1. Kalite</t>
  </si>
  <si>
    <t>026233180101</t>
  </si>
  <si>
    <t>50X75 CM ALPAKA TÜRK BAYRAĞI</t>
  </si>
  <si>
    <t>Lanyard</t>
  </si>
  <si>
    <t>200X300 CM ATATÜRK BASKILI TÜRK BAYRAĞI ATATÜRK POSTERİ RAŞEL KUMAŞ</t>
  </si>
  <si>
    <t>ATA200X300R</t>
  </si>
  <si>
    <t>Raşel kumaş</t>
  </si>
  <si>
    <t>Atatürk Baskılı Türk Bayrağı Atatürk Posteri 100x150 Cm Raşel Kumaş Dijital Baskı</t>
  </si>
  <si>
    <t>ATA100X150R</t>
  </si>
  <si>
    <t>300x450 Cm Türk Bayrağı Alpaka</t>
  </si>
  <si>
    <t>TB300X450R</t>
  </si>
  <si>
    <t>200x300 Cm Kumaş Türk Bayrağı</t>
  </si>
  <si>
    <t>TB200X300A</t>
  </si>
  <si>
    <t>Türk Bayrağı 100×150 cm – 1. Sınıf Alpaka Kumaştan Üretilmiştir</t>
  </si>
  <si>
    <t>2903335800010</t>
  </si>
  <si>
    <t>TRB100150-AK</t>
  </si>
  <si>
    <t>Türk Bayrağı 150x225 cm – Raşel Kumaş, Özenli Dikiş</t>
  </si>
  <si>
    <t>8697651522300</t>
  </si>
  <si>
    <t>TB-RSL-150x225</t>
  </si>
  <si>
    <t>TBR-RAS-150x225</t>
  </si>
  <si>
    <t>Atatürk Baskılı Türk Bayrağı Atatürk Posteri 70x105 Cm Raşel Kumaş Dijital Baskı</t>
  </si>
  <si>
    <t>ATA70X105R</t>
  </si>
  <si>
    <t>70x105 Cm Kumaş Türk Bayrağı - Bayrak Kumaşı</t>
  </si>
  <si>
    <t>TB70X105A</t>
  </si>
  <si>
    <t>50x75cm Kalpaklı Atatürk Raşel Kumaş Sopalı Türk Bayrağı – Dayanıklı ve Kaliteli Dijital Baskı</t>
  </si>
  <si>
    <t>86962741224212</t>
  </si>
  <si>
    <t>ATB-50x75-SPL</t>
  </si>
  <si>
    <t>Türk Bayrağı 70x105 cm - Kaliteli Alpaka Kumaş - Canlı ve Solmaz Renk, İç ve Dış Mekanlara Uygun</t>
  </si>
  <si>
    <t>2005075032077</t>
  </si>
  <si>
    <t>AKY-TRB-70105-ALP</t>
  </si>
  <si>
    <t>Türk Bayrağı 600x900 cm - Raşel Kumaş Büyük Ebat Dış Mekân Direk</t>
  </si>
  <si>
    <t>86931282052075</t>
  </si>
  <si>
    <t>TBR-RSL-600x900</t>
  </si>
  <si>
    <t>TBR-RAS-600x900</t>
  </si>
  <si>
    <t>Türk Bayrağı 400x600 cm (4m x 6m) - Raşel Kumaş Dış Mekan Direk ve Balkon Uyumlu</t>
  </si>
  <si>
    <t>86976545211075</t>
  </si>
  <si>
    <t>TBR-RAS-400x600</t>
  </si>
  <si>
    <t>150x225 Cm Atatürk Baskılı (ÖLÇÜ OLARAK ODA DUVARINI BOYDAN KAPLAR) Atatürk Posteri</t>
  </si>
  <si>
    <t>ATA150X225R</t>
  </si>
  <si>
    <t>400x600 Cm Türk Bayrağı</t>
  </si>
  <si>
    <t>TB400X600R</t>
  </si>
  <si>
    <t>120x180 Cm Kumaş Türk Bayrağı</t>
  </si>
  <si>
    <t>TB120X180A</t>
  </si>
  <si>
    <t>Bkt-110 150x225 Cm Türk Bayrağı</t>
  </si>
  <si>
    <t>8694430152259</t>
  </si>
  <si>
    <t>113110</t>
  </si>
  <si>
    <t>Buket</t>
  </si>
  <si>
    <t>200x300 Türk Bayrağı – 1. Kalite Kumaş</t>
  </si>
  <si>
    <t>8694430000048</t>
  </si>
  <si>
    <t>113111</t>
  </si>
  <si>
    <t>60x90 cm Atatürk Baskılı Türk Bayrağı – Raşel Kumaş, Çift Dikiş, Solmaz Renk</t>
  </si>
  <si>
    <t>8697345221228</t>
  </si>
  <si>
    <t>ATB-60x90-RS</t>
  </si>
  <si>
    <t>70x105 İran Milli Gönder Bayrağı Raşel Kumaş Dijital Baskı</t>
  </si>
  <si>
    <t>2902225662410</t>
  </si>
  <si>
    <t>AKYDLZ-STR-IRAN-70X105</t>
  </si>
  <si>
    <t>Sopalı Türk Bayrağı 40x60 cm - Alpaka Kumaş 1. Kalite (5 Adet)</t>
  </si>
  <si>
    <t>22887400813</t>
  </si>
  <si>
    <t>BLSN11164</t>
  </si>
  <si>
    <t>25 Adet 20x30 Cm - Kumaş Sopalı Bez Türk Bayrağı - ince değilDİR</t>
  </si>
  <si>
    <t>DZYNSPT20X30A25A</t>
  </si>
  <si>
    <t>STB20X30A25A</t>
  </si>
  <si>
    <t>5 Adet 20x30 Cm - Bez Kumaş Sopalı Türk Bayrağı</t>
  </si>
  <si>
    <t>A20X30STB</t>
  </si>
  <si>
    <t>STB20X30A5</t>
  </si>
  <si>
    <t>Türk Bayrağı 800x1200 cm – Raşel Kumaş, Dev Ebat, Çift Dikiş, Solmaz Renk, Dış Mekân Kalitesi</t>
  </si>
  <si>
    <t>8697654321242</t>
  </si>
  <si>
    <t>TB-RSL-800x1200</t>
  </si>
  <si>
    <t>(30 Adet) 30x45 cm Sopalı Bez Türk Bayrağı KALİTELİ ALPAKA KUMAŞ</t>
  </si>
  <si>
    <t>4807499444628</t>
  </si>
  <si>
    <t>TB-30x45-30</t>
  </si>
  <si>
    <t>(10 Adet) 30x45 cm Sopalı Bez Türk Bayrağı KALİTELİ ALPAKA KUMAŞ</t>
  </si>
  <si>
    <t>6642493625727</t>
  </si>
  <si>
    <t>TB-30x45-10</t>
  </si>
  <si>
    <t>(20 Adet) 30x45 cm Sopalı Bez Türk Bayrağı KALİTELİ ALPAKA KUMAŞ</t>
  </si>
  <si>
    <t>8820009528742</t>
  </si>
  <si>
    <t>TB-30x45-20</t>
  </si>
  <si>
    <t>(5 Adet) 30x45 cm Sopalı Bez Türk Bayrağı KALİTELİ ALPAKA KUMAŞ</t>
  </si>
  <si>
    <t>1188369269796</t>
  </si>
  <si>
    <t>TB-30x45-5</t>
  </si>
  <si>
    <t>10 ADET Sopalı Türk Bayrağı 20x30 cm – Raşel Kumaş, Çift Dikiş, Dayanıklı Küçük Ebat</t>
  </si>
  <si>
    <t>8697654321235</t>
  </si>
  <si>
    <t>TB-RSL-SOPALI-10-20x30</t>
  </si>
  <si>
    <t>150x225 cm Atatürk Baskılı Türk Bayrağı – Raşel Kumaş, Çift Dikiş, Solmaz Renk</t>
  </si>
  <si>
    <t>8697616261181</t>
  </si>
  <si>
    <t>ATB-150x225-RS</t>
  </si>
  <si>
    <t>200x300 cm Atatürk Baskılı Türk Bayrağı – Raşel Kumaş, Çift Dikiş, Solmaz Renk</t>
  </si>
  <si>
    <t>8697654321228</t>
  </si>
  <si>
    <t>ATB-200x300-RS</t>
  </si>
  <si>
    <t>(5 ADET) Sopalı Türk Bayrağı 50x75 cm - Raşel Kumaş</t>
  </si>
  <si>
    <t>869644211075</t>
  </si>
  <si>
    <t>TB-RSL-SOPALI-50x70-5</t>
  </si>
  <si>
    <t>TB-RSL-SOPALI-50x75-5</t>
  </si>
  <si>
    <t>100x150 cm Atatürk Baskılı Türk Bayrağı – Raşel Kumaş, Çift Dikiş, Solmaz Renk</t>
  </si>
  <si>
    <t>8697654321181</t>
  </si>
  <si>
    <t>ATB-100x150-RS</t>
  </si>
  <si>
    <t>Türk Bayrağı 700x1050 cm (7 x 10,5 metre) - Raşel Kumaş Büyük Ebat Dış Mekân Direk</t>
  </si>
  <si>
    <t>8697654321705</t>
  </si>
  <si>
    <t>TB-RSL-700x1050</t>
  </si>
  <si>
    <t>TBR-RAS-700x1050</t>
  </si>
  <si>
    <t>Türk Bayrağı 500x750 cm Dış Mekan Direk Tören Kullanımı</t>
  </si>
  <si>
    <t>8697654321750</t>
  </si>
  <si>
    <t>TBR-RAS-500x750</t>
  </si>
  <si>
    <t>TB-RSL-500x750</t>
  </si>
  <si>
    <t>10 ADET Türk Bayrağı 50x70 cm Pigment Raşel Sopalı - Resmi Bayram, Miting, Kutlama</t>
  </si>
  <si>
    <t>8697654321075</t>
  </si>
  <si>
    <t>TBR-RAS-10-50x75</t>
  </si>
  <si>
    <t>TB-RSL-SOPALI-50x75</t>
  </si>
  <si>
    <t>Türk Bayrağı 400x600 cm - Raşel Kumaş 1. Kalite</t>
  </si>
  <si>
    <t>TYBV8U2HKSUFG3JI59</t>
  </si>
  <si>
    <t>EsiByrk600x600Rsl</t>
  </si>
  <si>
    <t>Türk Bayrağı 300x450 cm  1.Kalite Raşel Kumaş</t>
  </si>
  <si>
    <t>21887469688</t>
  </si>
  <si>
    <t>BLSN101</t>
  </si>
  <si>
    <t>50x75 CM ATATÜRK BASKILI TÜRK BAYRAĞI ATATÜRK POSTERİ RAŞEL KUMAŞ</t>
  </si>
  <si>
    <t>ATA50X75R</t>
  </si>
  <si>
    <t>600X900 CM RAŞEL KUMAŞ TÜRK BAYRAĞI</t>
  </si>
  <si>
    <t>TB600X900R</t>
  </si>
  <si>
    <t>400x600 Cm Alpaka Kumaş Türk Bayrağı</t>
  </si>
  <si>
    <t>TYB5EFHHSUF53HP658</t>
  </si>
  <si>
    <t>400x600cm</t>
  </si>
  <si>
    <t>Türk Bayrağı 70x105 cm Milli Bayramlar İçin Türk Bayrağı Balkona Arabaya Asılabilen Türk Bayrağı</t>
  </si>
  <si>
    <t>ADB0000000002</t>
  </si>
  <si>
    <t>ADB002</t>
  </si>
  <si>
    <t>Antalya Dünya Bayrak</t>
  </si>
  <si>
    <t>Türk Bayrağı 30x45 Cm Özel Alpaka Kumaş Bez Bayrak</t>
  </si>
  <si>
    <t>8697603068593</t>
  </si>
  <si>
    <t>ultsST08674</t>
  </si>
  <si>
    <t>Abka</t>
  </si>
  <si>
    <t>Bkt-106 70x105 Cm Türk Bayrağı</t>
  </si>
  <si>
    <t>8694430701051</t>
  </si>
  <si>
    <t>PRA-177361-7830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</si>
</sst>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6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E2" t="s">
        <v>29</v>
      </c>
      <c r="F2" t="s">
        <v>30</v>
      </c>
      <c r="G2" t="s">
        <v>31</v>
      </c>
      <c r="H2">
        <v>50</v>
      </c>
      <c r="I2">
        <v>1299.13</v>
      </c>
      <c r="J2">
        <v>1299.12</v>
      </c>
      <c r="K2">
        <v>1224.55</v>
      </c>
      <c r="L2">
        <v>1224.54</v>
      </c>
      <c r="M2">
        <v>1131.61</v>
      </c>
      <c r="N2">
        <v>1131.6</v>
      </c>
      <c r="O2" t="s">
        <v>32</v>
      </c>
      <c r="P2">
        <v>19</v>
      </c>
      <c r="Q2">
        <v>18</v>
      </c>
      <c r="R2">
        <v>16.7</v>
      </c>
      <c r="S2">
        <v>14.8</v>
      </c>
      <c r="T2">
        <v>1544.7</v>
      </c>
      <c r="U2">
        <v>19</v>
      </c>
      <c r="V2">
        <v>1626</v>
      </c>
      <c r="W2">
        <v>1299.12</v>
      </c>
      <c r="X2">
        <f>IF(OR(W2="",Y2=""),"-",IF(OR(ISNUMBER(SEARCH("3 Günlük",Y2)),ISNUMBER(SEARCH("7 Günlük",Y2)),ISNUMBER(SEARCH("Trendyol Satış Fiyatı",Y2))),IF(W2&gt;=I2,P2,IF(AND(W2&gt;=K2,W2&lt;=J2),Q2,IF(AND(W2&gt;=M2,W2&lt;=L2),R2,IF(W2&lt;=N2,S2,"-")))),"-"))</f>
        <v>0</v>
      </c>
      <c r="Y2" t="s">
        <v>33</v>
      </c>
      <c r="AA2" t="s">
        <v>34</v>
      </c>
    </row>
    <row r="3" spans="1:27">
      <c r="A3" t="s">
        <v>35</v>
      </c>
      <c r="B3" t="s">
        <v>36</v>
      </c>
      <c r="E3" t="s">
        <v>36</v>
      </c>
      <c r="F3" t="s">
        <v>30</v>
      </c>
      <c r="G3" t="s">
        <v>37</v>
      </c>
      <c r="H3">
        <v>89</v>
      </c>
      <c r="I3">
        <v>298.42</v>
      </c>
      <c r="J3">
        <v>298.41</v>
      </c>
      <c r="K3">
        <v>279.05</v>
      </c>
      <c r="L3">
        <v>279.04</v>
      </c>
      <c r="M3">
        <v>252.91</v>
      </c>
      <c r="N3">
        <v>252.9</v>
      </c>
      <c r="O3" t="s">
        <v>32</v>
      </c>
      <c r="P3">
        <v>19</v>
      </c>
      <c r="Q3">
        <v>14.7</v>
      </c>
      <c r="R3">
        <v>12.9</v>
      </c>
      <c r="S3">
        <v>10.1</v>
      </c>
      <c r="T3">
        <v>360</v>
      </c>
      <c r="U3">
        <v>19</v>
      </c>
      <c r="V3">
        <v>360</v>
      </c>
      <c r="X3">
        <f>IF(OR(W3="",Y3=""),"-",IF(OR(ISNUMBER(SEARCH("3 Günlük",Y3)),ISNUMBER(SEARCH("7 Günlük",Y3)),ISNUMBER(SEARCH("Trendyol Satış Fiyatı",Y3))),IF(W3&gt;=I3,P3,IF(AND(W3&gt;=K3,W3&lt;=J3),Q3,IF(AND(W3&gt;=M3,W3&lt;=L3),R3,IF(W3&lt;=N3,S3,"-")))),"-"))</f>
        <v>0</v>
      </c>
      <c r="AA3" t="s">
        <v>34</v>
      </c>
    </row>
    <row r="4" spans="1:27">
      <c r="A4" t="s">
        <v>38</v>
      </c>
      <c r="B4" t="s">
        <v>39</v>
      </c>
      <c r="E4" t="s">
        <v>39</v>
      </c>
      <c r="F4" t="s">
        <v>30</v>
      </c>
      <c r="G4" t="s">
        <v>37</v>
      </c>
      <c r="H4">
        <v>13</v>
      </c>
      <c r="I4">
        <v>108.9</v>
      </c>
      <c r="J4">
        <v>108.89</v>
      </c>
      <c r="K4">
        <v>101.9</v>
      </c>
      <c r="L4">
        <v>101.89</v>
      </c>
      <c r="M4">
        <v>93.40000000000001</v>
      </c>
      <c r="N4">
        <v>93.39</v>
      </c>
      <c r="O4" t="s">
        <v>32</v>
      </c>
      <c r="P4">
        <v>19</v>
      </c>
      <c r="Q4">
        <v>14.8</v>
      </c>
      <c r="R4">
        <v>13</v>
      </c>
      <c r="S4">
        <v>10.6</v>
      </c>
      <c r="T4">
        <v>125</v>
      </c>
      <c r="U4">
        <v>19</v>
      </c>
      <c r="V4">
        <v>125</v>
      </c>
      <c r="X4">
        <f>IF(OR(W4="",Y4=""),"-",IF(OR(ISNUMBER(SEARCH("3 Günlük",Y4)),ISNUMBER(SEARCH("7 Günlük",Y4)),ISNUMBER(SEARCH("Trendyol Satış Fiyatı",Y4))),IF(W4&gt;=I4,P4,IF(AND(W4&gt;=K4,W4&lt;=J4),Q4,IF(AND(W4&gt;=M4,W4&lt;=L4),R4,IF(W4&lt;=N4,S4,"-")))),"-"))</f>
        <v>0</v>
      </c>
      <c r="AA4" t="s">
        <v>34</v>
      </c>
    </row>
    <row r="5" spans="1:27">
      <c r="A5" t="s">
        <v>40</v>
      </c>
      <c r="B5" t="s">
        <v>41</v>
      </c>
      <c r="C5" t="s">
        <v>42</v>
      </c>
      <c r="E5" t="s">
        <v>42</v>
      </c>
      <c r="F5" t="s">
        <v>30</v>
      </c>
      <c r="G5" t="s">
        <v>31</v>
      </c>
      <c r="H5">
        <v>966</v>
      </c>
      <c r="I5">
        <v>160.08</v>
      </c>
      <c r="J5">
        <v>160.07</v>
      </c>
      <c r="K5">
        <v>151.06</v>
      </c>
      <c r="L5">
        <v>151.05</v>
      </c>
      <c r="M5">
        <v>143.02</v>
      </c>
      <c r="N5">
        <v>143.01</v>
      </c>
      <c r="O5" t="s">
        <v>32</v>
      </c>
      <c r="P5">
        <v>19</v>
      </c>
      <c r="Q5">
        <v>18</v>
      </c>
      <c r="R5">
        <v>16.7</v>
      </c>
      <c r="S5">
        <v>15.4</v>
      </c>
      <c r="T5">
        <v>157.16</v>
      </c>
      <c r="U5">
        <v>18</v>
      </c>
      <c r="V5">
        <v>251.9</v>
      </c>
      <c r="X5">
        <f>IF(OR(W5="",Y5=""),"-",IF(OR(ISNUMBER(SEARCH("3 Günlük",Y5)),ISNUMBER(SEARCH("7 Günlük",Y5)),ISNUMBER(SEARCH("Trendyol Satış Fiyatı",Y5))),IF(W5&gt;=I5,P5,IF(AND(W5&gt;=K5,W5&lt;=J5),Q5,IF(AND(W5&gt;=M5,W5&lt;=L5),R5,IF(W5&lt;=N5,S5,"-")))),"-"))</f>
        <v>0</v>
      </c>
      <c r="AA5" t="s">
        <v>34</v>
      </c>
    </row>
    <row r="6" spans="1:27">
      <c r="A6" t="s">
        <v>43</v>
      </c>
      <c r="B6" t="s">
        <v>44</v>
      </c>
      <c r="C6" t="s">
        <v>45</v>
      </c>
      <c r="E6" t="s">
        <v>46</v>
      </c>
      <c r="F6" t="s">
        <v>30</v>
      </c>
      <c r="G6" t="s">
        <v>31</v>
      </c>
      <c r="H6">
        <v>41</v>
      </c>
      <c r="I6">
        <v>319.5</v>
      </c>
      <c r="J6">
        <v>319.49</v>
      </c>
      <c r="K6">
        <v>306.28</v>
      </c>
      <c r="L6">
        <v>306.27</v>
      </c>
      <c r="M6">
        <v>288.98</v>
      </c>
      <c r="N6">
        <v>288.97</v>
      </c>
      <c r="O6" t="s">
        <v>32</v>
      </c>
      <c r="P6">
        <v>19</v>
      </c>
      <c r="Q6">
        <v>18.3</v>
      </c>
      <c r="R6">
        <v>17.3</v>
      </c>
      <c r="S6">
        <v>16</v>
      </c>
      <c r="T6">
        <v>339.15</v>
      </c>
      <c r="U6">
        <v>19</v>
      </c>
      <c r="V6">
        <v>357</v>
      </c>
      <c r="X6">
        <f>IF(OR(W6="",Y6=""),"-",IF(OR(ISNUMBER(SEARCH("3 Günlük",Y6)),ISNUMBER(SEARCH("7 Günlük",Y6)),ISNUMBER(SEARCH("Trendyol Satış Fiyatı",Y6))),IF(W6&gt;=I6,P6,IF(AND(W6&gt;=K6,W6&lt;=J6),Q6,IF(AND(W6&gt;=M6,W6&lt;=L6),R6,IF(W6&lt;=N6,S6,"-")))),"-"))</f>
        <v>0</v>
      </c>
      <c r="AA6" t="s">
        <v>34</v>
      </c>
    </row>
    <row r="7" spans="1:27">
      <c r="A7" t="s">
        <v>47</v>
      </c>
      <c r="B7" t="s">
        <v>48</v>
      </c>
      <c r="E7" t="s">
        <v>48</v>
      </c>
      <c r="F7" t="s">
        <v>30</v>
      </c>
      <c r="G7" t="s">
        <v>37</v>
      </c>
      <c r="H7">
        <v>73</v>
      </c>
      <c r="I7">
        <v>154.08</v>
      </c>
      <c r="J7">
        <v>154.07</v>
      </c>
      <c r="K7">
        <v>146.76</v>
      </c>
      <c r="L7">
        <v>146.75</v>
      </c>
      <c r="M7">
        <v>137.89</v>
      </c>
      <c r="N7">
        <v>137.88</v>
      </c>
      <c r="O7" t="s">
        <v>32</v>
      </c>
      <c r="P7">
        <v>19</v>
      </c>
      <c r="Q7">
        <v>18.2</v>
      </c>
      <c r="R7">
        <v>17.2</v>
      </c>
      <c r="S7">
        <v>15.7</v>
      </c>
      <c r="T7">
        <v>170</v>
      </c>
      <c r="U7">
        <v>19</v>
      </c>
      <c r="V7">
        <v>170</v>
      </c>
      <c r="X7">
        <f>IF(OR(W7="",Y7=""),"-",IF(OR(ISNUMBER(SEARCH("3 Günlük",Y7)),ISNUMBER(SEARCH("7 Günlük",Y7)),ISNUMBER(SEARCH("Trendyol Satış Fiyatı",Y7))),IF(W7&gt;=I7,P7,IF(AND(W7&gt;=K7,W7&lt;=J7),Q7,IF(AND(W7&gt;=M7,W7&lt;=L7),R7,IF(W7&lt;=N7,S7,"-")))),"-"))</f>
        <v>0</v>
      </c>
      <c r="AA7" t="s">
        <v>34</v>
      </c>
    </row>
    <row r="8" spans="1:27">
      <c r="A8" t="s">
        <v>49</v>
      </c>
      <c r="B8" t="s">
        <v>50</v>
      </c>
      <c r="C8" t="s">
        <v>51</v>
      </c>
      <c r="E8" t="s">
        <v>52</v>
      </c>
      <c r="F8" t="s">
        <v>30</v>
      </c>
      <c r="G8" t="s">
        <v>31</v>
      </c>
      <c r="H8">
        <v>43</v>
      </c>
      <c r="I8">
        <v>419.53</v>
      </c>
      <c r="J8">
        <v>419.52</v>
      </c>
      <c r="K8">
        <v>406.15</v>
      </c>
      <c r="L8">
        <v>406.14</v>
      </c>
      <c r="M8">
        <v>388.67</v>
      </c>
      <c r="N8">
        <v>388.66</v>
      </c>
      <c r="O8" t="s">
        <v>32</v>
      </c>
      <c r="P8">
        <v>19</v>
      </c>
      <c r="Q8">
        <v>18.5</v>
      </c>
      <c r="R8">
        <v>17.8</v>
      </c>
      <c r="S8">
        <v>16.8</v>
      </c>
      <c r="T8">
        <v>448.87</v>
      </c>
      <c r="U8">
        <v>19</v>
      </c>
      <c r="V8">
        <v>472.5</v>
      </c>
      <c r="X8">
        <f>IF(OR(W8="",Y8=""),"-",IF(OR(ISNUMBER(SEARCH("3 Günlük",Y8)),ISNUMBER(SEARCH("7 Günlük",Y8)),ISNUMBER(SEARCH("Trendyol Satış Fiyatı",Y8))),IF(W8&gt;=I8,P8,IF(AND(W8&gt;=K8,W8&lt;=J8),Q8,IF(AND(W8&gt;=M8,W8&lt;=L8),R8,IF(W8&lt;=N8,S8,"-")))),"-"))</f>
        <v>0</v>
      </c>
      <c r="AA8" t="s">
        <v>34</v>
      </c>
    </row>
    <row r="9" spans="1:27">
      <c r="A9" t="s">
        <v>53</v>
      </c>
      <c r="B9" t="s">
        <v>54</v>
      </c>
      <c r="C9" t="s">
        <v>55</v>
      </c>
      <c r="E9" t="s">
        <v>55</v>
      </c>
      <c r="F9" t="s">
        <v>30</v>
      </c>
      <c r="G9" t="s">
        <v>31</v>
      </c>
      <c r="H9">
        <v>438</v>
      </c>
      <c r="I9">
        <v>789.5</v>
      </c>
      <c r="J9">
        <v>789.49</v>
      </c>
      <c r="K9">
        <v>768.51</v>
      </c>
      <c r="L9">
        <v>768.5</v>
      </c>
      <c r="M9">
        <v>747.13</v>
      </c>
      <c r="N9">
        <v>747.12</v>
      </c>
      <c r="O9" t="s">
        <v>32</v>
      </c>
      <c r="P9">
        <v>19</v>
      </c>
      <c r="Q9">
        <v>18.5</v>
      </c>
      <c r="R9">
        <v>17.6</v>
      </c>
      <c r="S9">
        <v>16.7</v>
      </c>
      <c r="T9">
        <v>886.78</v>
      </c>
      <c r="U9">
        <v>19</v>
      </c>
      <c r="V9">
        <v>933.45</v>
      </c>
      <c r="X9">
        <f>IF(OR(W9="",Y9=""),"-",IF(OR(ISNUMBER(SEARCH("3 Günlük",Y9)),ISNUMBER(SEARCH("7 Günlük",Y9)),ISNUMBER(SEARCH("Trendyol Satış Fiyatı",Y9))),IF(W9&gt;=I9,P9,IF(AND(W9&gt;=K9,W9&lt;=J9),Q9,IF(AND(W9&gt;=M9,W9&lt;=L9),R9,IF(W9&lt;=N9,S9,"-")))),"-"))</f>
        <v>0</v>
      </c>
      <c r="AA9" t="s">
        <v>34</v>
      </c>
    </row>
    <row r="10" spans="1:27">
      <c r="A10" t="s">
        <v>56</v>
      </c>
      <c r="B10" t="s">
        <v>57</v>
      </c>
      <c r="E10" t="s">
        <v>58</v>
      </c>
      <c r="F10" t="s">
        <v>30</v>
      </c>
      <c r="G10" t="s">
        <v>59</v>
      </c>
      <c r="H10">
        <v>993</v>
      </c>
      <c r="I10">
        <v>291.58</v>
      </c>
      <c r="J10">
        <v>291.57</v>
      </c>
      <c r="K10">
        <v>268.9</v>
      </c>
      <c r="L10">
        <v>268.89</v>
      </c>
      <c r="M10">
        <v>240.79</v>
      </c>
      <c r="N10">
        <v>240.78</v>
      </c>
      <c r="O10" t="s">
        <v>32</v>
      </c>
      <c r="P10">
        <v>19</v>
      </c>
      <c r="Q10">
        <v>17.7</v>
      </c>
      <c r="R10">
        <v>15.8</v>
      </c>
      <c r="S10">
        <v>13</v>
      </c>
      <c r="T10">
        <v>390</v>
      </c>
      <c r="U10">
        <v>19</v>
      </c>
      <c r="V10">
        <v>390</v>
      </c>
      <c r="X10">
        <f>IF(OR(W10="",Y10=""),"-",IF(OR(ISNUMBER(SEARCH("3 Günlük",Y10)),ISNUMBER(SEARCH("7 Günlük",Y10)),ISNUMBER(SEARCH("Trendyol Satış Fiyatı",Y10))),IF(W10&gt;=I10,P10,IF(AND(W10&gt;=K10,W10&lt;=J10),Q10,IF(AND(W10&gt;=M10,W10&lt;=L10),R10,IF(W10&lt;=N10,S10,"-")))),"-"))</f>
        <v>0</v>
      </c>
      <c r="AA10" t="s">
        <v>34</v>
      </c>
    </row>
    <row r="11" spans="1:27">
      <c r="A11" t="s">
        <v>60</v>
      </c>
      <c r="B11" t="s">
        <v>61</v>
      </c>
      <c r="E11" t="s">
        <v>61</v>
      </c>
      <c r="F11" t="s">
        <v>30</v>
      </c>
      <c r="G11" t="s">
        <v>37</v>
      </c>
      <c r="H11">
        <v>19</v>
      </c>
      <c r="I11">
        <v>536.89</v>
      </c>
      <c r="J11">
        <v>536.88</v>
      </c>
      <c r="K11">
        <v>503.41</v>
      </c>
      <c r="L11">
        <v>503.4</v>
      </c>
      <c r="M11">
        <v>462.74</v>
      </c>
      <c r="N11">
        <v>462.73</v>
      </c>
      <c r="O11" t="s">
        <v>32</v>
      </c>
      <c r="P11">
        <v>19</v>
      </c>
      <c r="Q11">
        <v>17.9</v>
      </c>
      <c r="R11">
        <v>16.5</v>
      </c>
      <c r="S11">
        <v>14.4</v>
      </c>
      <c r="T11">
        <v>600</v>
      </c>
      <c r="U11">
        <v>19</v>
      </c>
      <c r="V11">
        <v>600</v>
      </c>
      <c r="X11">
        <f>IF(OR(W11="",Y11=""),"-",IF(OR(ISNUMBER(SEARCH("3 Günlük",Y11)),ISNUMBER(SEARCH("7 Günlük",Y11)),ISNUMBER(SEARCH("Trendyol Satış Fiyatı",Y11))),IF(W11&gt;=I11,P11,IF(AND(W11&gt;=K11,W11&lt;=J11),Q11,IF(AND(W11&gt;=M11,W11&lt;=L11),R11,IF(W11&lt;=N11,S11,"-")))),"-"))</f>
        <v>0</v>
      </c>
      <c r="AA11" t="s">
        <v>34</v>
      </c>
    </row>
    <row r="12" spans="1:27">
      <c r="A12" t="s">
        <v>62</v>
      </c>
      <c r="B12" t="s">
        <v>63</v>
      </c>
      <c r="E12" t="s">
        <v>63</v>
      </c>
      <c r="F12" t="s">
        <v>30</v>
      </c>
      <c r="G12" t="s">
        <v>37</v>
      </c>
      <c r="H12">
        <v>362</v>
      </c>
      <c r="I12">
        <v>189.83</v>
      </c>
      <c r="J12">
        <v>189.82</v>
      </c>
      <c r="K12">
        <v>178.8</v>
      </c>
      <c r="L12">
        <v>178.79</v>
      </c>
      <c r="M12">
        <v>164.71</v>
      </c>
      <c r="N12">
        <v>164.7</v>
      </c>
      <c r="O12" t="s">
        <v>32</v>
      </c>
      <c r="P12">
        <v>19</v>
      </c>
      <c r="Q12">
        <v>18</v>
      </c>
      <c r="R12">
        <v>16.7</v>
      </c>
      <c r="S12">
        <v>14.7</v>
      </c>
      <c r="T12">
        <v>285</v>
      </c>
      <c r="U12">
        <v>19</v>
      </c>
      <c r="V12">
        <v>285</v>
      </c>
      <c r="X12">
        <f>IF(OR(W12="",Y12=""),"-",IF(OR(ISNUMBER(SEARCH("3 Günlük",Y12)),ISNUMBER(SEARCH("7 Günlük",Y12)),ISNUMBER(SEARCH("Trendyol Satış Fiyatı",Y12))),IF(W12&gt;=I12,P12,IF(AND(W12&gt;=K12,W12&lt;=J12),Q12,IF(AND(W12&gt;=M12,W12&lt;=L12),R12,IF(W12&lt;=N12,S12,"-")))),"-"))</f>
        <v>0</v>
      </c>
      <c r="AA12" t="s">
        <v>34</v>
      </c>
    </row>
    <row r="13" spans="1:27">
      <c r="A13" t="s">
        <v>64</v>
      </c>
      <c r="B13" t="s">
        <v>65</v>
      </c>
      <c r="E13" t="s">
        <v>66</v>
      </c>
      <c r="F13" t="s">
        <v>30</v>
      </c>
      <c r="G13" t="s">
        <v>67</v>
      </c>
      <c r="H13">
        <v>87</v>
      </c>
      <c r="I13">
        <v>112.81</v>
      </c>
      <c r="J13">
        <v>112.8</v>
      </c>
      <c r="K13">
        <v>107.7</v>
      </c>
      <c r="L13">
        <v>107.69</v>
      </c>
      <c r="M13">
        <v>101.02</v>
      </c>
      <c r="N13">
        <v>101.01</v>
      </c>
      <c r="O13" t="s">
        <v>32</v>
      </c>
      <c r="P13">
        <v>19</v>
      </c>
      <c r="Q13">
        <v>18.2</v>
      </c>
      <c r="R13">
        <v>17.2</v>
      </c>
      <c r="S13">
        <v>15.6</v>
      </c>
      <c r="T13">
        <v>170</v>
      </c>
      <c r="U13">
        <v>19</v>
      </c>
      <c r="V13">
        <v>170</v>
      </c>
      <c r="X13">
        <f>IF(OR(W13="",Y13=""),"-",IF(OR(ISNUMBER(SEARCH("3 Günlük",Y13)),ISNUMBER(SEARCH("7 Günlük",Y13)),ISNUMBER(SEARCH("Trendyol Satış Fiyatı",Y13))),IF(W13&gt;=I13,P13,IF(AND(W13&gt;=K13,W13&lt;=J13),Q13,IF(AND(W13&gt;=M13,W13&lt;=L13),R13,IF(W13&lt;=N13,S13,"-")))),"-"))</f>
        <v>0</v>
      </c>
      <c r="AA13" t="s">
        <v>34</v>
      </c>
    </row>
    <row r="14" spans="1:27">
      <c r="A14" t="s">
        <v>68</v>
      </c>
      <c r="B14" t="s">
        <v>69</v>
      </c>
      <c r="E14" t="s">
        <v>69</v>
      </c>
      <c r="F14" t="s">
        <v>30</v>
      </c>
      <c r="G14" t="s">
        <v>70</v>
      </c>
      <c r="H14">
        <v>10</v>
      </c>
      <c r="I14">
        <v>847.04</v>
      </c>
      <c r="J14">
        <v>847.03</v>
      </c>
      <c r="K14">
        <v>798.92</v>
      </c>
      <c r="L14">
        <v>798.91</v>
      </c>
      <c r="M14">
        <v>758</v>
      </c>
      <c r="N14">
        <v>757.99</v>
      </c>
      <c r="O14" t="s">
        <v>32</v>
      </c>
      <c r="P14">
        <v>19</v>
      </c>
      <c r="Q14">
        <v>18.1</v>
      </c>
      <c r="R14">
        <v>16.7</v>
      </c>
      <c r="S14">
        <v>15.5</v>
      </c>
      <c r="T14">
        <v>925</v>
      </c>
      <c r="U14">
        <v>19</v>
      </c>
      <c r="V14">
        <v>925</v>
      </c>
      <c r="X14">
        <f>IF(OR(W14="",Y14=""),"-",IF(OR(ISNUMBER(SEARCH("3 Günlük",Y14)),ISNUMBER(SEARCH("7 Günlük",Y14)),ISNUMBER(SEARCH("Trendyol Satış Fiyatı",Y14))),IF(W14&gt;=I14,P14,IF(AND(W14&gt;=K14,W14&lt;=J14),Q14,IF(AND(W14&gt;=M14,W14&lt;=L14),R14,IF(W14&lt;=N14,S14,"-")))),"-"))</f>
        <v>0</v>
      </c>
      <c r="AA14" t="s">
        <v>34</v>
      </c>
    </row>
    <row r="15" spans="1:27">
      <c r="A15" t="s">
        <v>71</v>
      </c>
      <c r="B15" t="s">
        <v>72</v>
      </c>
      <c r="E15" t="s">
        <v>72</v>
      </c>
      <c r="F15" t="s">
        <v>30</v>
      </c>
      <c r="G15" t="s">
        <v>70</v>
      </c>
      <c r="H15">
        <v>18</v>
      </c>
      <c r="I15">
        <v>205.36</v>
      </c>
      <c r="J15">
        <v>205.35</v>
      </c>
      <c r="K15">
        <v>195.75</v>
      </c>
      <c r="L15">
        <v>195.74</v>
      </c>
      <c r="M15">
        <v>184.07</v>
      </c>
      <c r="N15">
        <v>184.06</v>
      </c>
      <c r="O15" t="s">
        <v>32</v>
      </c>
      <c r="P15">
        <v>19</v>
      </c>
      <c r="Q15">
        <v>18.3</v>
      </c>
      <c r="R15">
        <v>17.2</v>
      </c>
      <c r="S15">
        <v>15.7</v>
      </c>
      <c r="T15">
        <v>365</v>
      </c>
      <c r="U15">
        <v>19</v>
      </c>
      <c r="V15">
        <v>365</v>
      </c>
      <c r="X15">
        <f>IF(OR(W15="",Y15=""),"-",IF(OR(ISNUMBER(SEARCH("3 Günlük",Y15)),ISNUMBER(SEARCH("7 Günlük",Y15)),ISNUMBER(SEARCH("Trendyol Satış Fiyatı",Y15))),IF(W15&gt;=I15,P15,IF(AND(W15&gt;=K15,W15&lt;=J15),Q15,IF(AND(W15&gt;=M15,W15&lt;=L15),R15,IF(W15&lt;=N15,S15,"-")))),"-"))</f>
        <v>0</v>
      </c>
      <c r="AA15" t="s">
        <v>34</v>
      </c>
    </row>
    <row r="16" spans="1:27">
      <c r="A16" t="s">
        <v>73</v>
      </c>
      <c r="B16" t="s">
        <v>74</v>
      </c>
      <c r="E16" t="s">
        <v>74</v>
      </c>
      <c r="F16" t="s">
        <v>30</v>
      </c>
      <c r="G16" t="s">
        <v>70</v>
      </c>
      <c r="H16">
        <v>40</v>
      </c>
      <c r="I16">
        <v>1329.36</v>
      </c>
      <c r="J16">
        <v>1329.35</v>
      </c>
      <c r="K16">
        <v>1294.78</v>
      </c>
      <c r="L16">
        <v>1294.77</v>
      </c>
      <c r="M16">
        <v>1247.65</v>
      </c>
      <c r="N16">
        <v>1247.64</v>
      </c>
      <c r="O16" t="s">
        <v>32</v>
      </c>
      <c r="P16">
        <v>19</v>
      </c>
      <c r="Q16">
        <v>18.6</v>
      </c>
      <c r="R16">
        <v>18</v>
      </c>
      <c r="S16">
        <v>17.1</v>
      </c>
      <c r="T16">
        <v>1400</v>
      </c>
      <c r="U16">
        <v>19</v>
      </c>
      <c r="V16">
        <v>1400</v>
      </c>
      <c r="X16">
        <f>IF(OR(W16="",Y16=""),"-",IF(OR(ISNUMBER(SEARCH("3 Günlük",Y16)),ISNUMBER(SEARCH("7 Günlük",Y16)),ISNUMBER(SEARCH("Trendyol Satış Fiyatı",Y16))),IF(W16&gt;=I16,P16,IF(AND(W16&gt;=K16,W16&lt;=J16),Q16,IF(AND(W16&gt;=M16,W16&lt;=L16),R16,IF(W16&lt;=N16,S16,"-")))),"-"))</f>
        <v>0</v>
      </c>
      <c r="AA16" t="s">
        <v>34</v>
      </c>
    </row>
    <row r="17" spans="1:27">
      <c r="A17" t="s">
        <v>75</v>
      </c>
      <c r="B17" t="s">
        <v>76</v>
      </c>
      <c r="E17" t="s">
        <v>76</v>
      </c>
      <c r="F17" t="s">
        <v>30</v>
      </c>
      <c r="G17" t="s">
        <v>37</v>
      </c>
      <c r="H17">
        <v>875</v>
      </c>
      <c r="I17">
        <v>783.9</v>
      </c>
      <c r="J17">
        <v>783.89</v>
      </c>
      <c r="K17">
        <v>760.03</v>
      </c>
      <c r="L17">
        <v>760.02</v>
      </c>
      <c r="M17">
        <v>727.54</v>
      </c>
      <c r="N17">
        <v>727.53</v>
      </c>
      <c r="O17" t="s">
        <v>32</v>
      </c>
      <c r="P17">
        <v>19</v>
      </c>
      <c r="Q17">
        <v>15.4</v>
      </c>
      <c r="R17">
        <v>14.6</v>
      </c>
      <c r="S17">
        <v>13.5</v>
      </c>
      <c r="T17">
        <v>852</v>
      </c>
      <c r="U17">
        <v>19</v>
      </c>
      <c r="V17">
        <v>852</v>
      </c>
      <c r="X17">
        <f>IF(OR(W17="",Y17=""),"-",IF(OR(ISNUMBER(SEARCH("3 Günlük",Y17)),ISNUMBER(SEARCH("7 Günlük",Y17)),ISNUMBER(SEARCH("Trendyol Satış Fiyatı",Y17))),IF(W17&gt;=I17,P17,IF(AND(W17&gt;=K17,W17&lt;=J17),Q17,IF(AND(W17&gt;=M17,W17&lt;=L17),R17,IF(W17&lt;=N17,S17,"-")))),"-"))</f>
        <v>0</v>
      </c>
      <c r="AA17" t="s">
        <v>34</v>
      </c>
    </row>
    <row r="18" spans="1:27">
      <c r="A18" t="s">
        <v>77</v>
      </c>
      <c r="B18" t="s">
        <v>78</v>
      </c>
      <c r="C18" t="s">
        <v>79</v>
      </c>
      <c r="E18" t="s">
        <v>79</v>
      </c>
      <c r="F18" t="s">
        <v>30</v>
      </c>
      <c r="G18" t="s">
        <v>31</v>
      </c>
      <c r="H18">
        <v>81</v>
      </c>
      <c r="I18">
        <v>349.18</v>
      </c>
      <c r="J18">
        <v>349.17</v>
      </c>
      <c r="K18">
        <v>322.8</v>
      </c>
      <c r="L18">
        <v>322.79</v>
      </c>
      <c r="M18">
        <v>290.17</v>
      </c>
      <c r="N18">
        <v>290.16</v>
      </c>
      <c r="O18" t="s">
        <v>32</v>
      </c>
      <c r="P18">
        <v>19</v>
      </c>
      <c r="Q18">
        <v>17.7</v>
      </c>
      <c r="R18">
        <v>15.9</v>
      </c>
      <c r="S18">
        <v>13.2</v>
      </c>
      <c r="T18">
        <v>438.8</v>
      </c>
      <c r="U18">
        <v>19</v>
      </c>
      <c r="V18">
        <v>461.9</v>
      </c>
      <c r="X18">
        <f>IF(OR(W18="",Y18=""),"-",IF(OR(ISNUMBER(SEARCH("3 Günlük",Y18)),ISNUMBER(SEARCH("7 Günlük",Y18)),ISNUMBER(SEARCH("Trendyol Satış Fiyatı",Y18))),IF(W18&gt;=I18,P18,IF(AND(W18&gt;=K18,W18&lt;=J18),Q18,IF(AND(W18&gt;=M18,W18&lt;=L18),R18,IF(W18&lt;=N18,S18,"-")))),"-"))</f>
        <v>0</v>
      </c>
      <c r="AA18" t="s">
        <v>34</v>
      </c>
    </row>
    <row r="19" spans="1:27">
      <c r="A19" t="s">
        <v>80</v>
      </c>
      <c r="B19" t="s">
        <v>81</v>
      </c>
      <c r="C19" t="s">
        <v>82</v>
      </c>
      <c r="E19" t="s">
        <v>83</v>
      </c>
      <c r="F19" t="s">
        <v>30</v>
      </c>
      <c r="G19" t="s">
        <v>31</v>
      </c>
      <c r="H19">
        <v>91</v>
      </c>
      <c r="I19">
        <v>561.1</v>
      </c>
      <c r="J19">
        <v>561.09</v>
      </c>
      <c r="K19">
        <v>546.05</v>
      </c>
      <c r="L19">
        <v>546.04</v>
      </c>
      <c r="M19">
        <v>525.76</v>
      </c>
      <c r="N19">
        <v>525.75</v>
      </c>
      <c r="O19" t="s">
        <v>32</v>
      </c>
      <c r="P19">
        <v>19</v>
      </c>
      <c r="Q19">
        <v>18.5</v>
      </c>
      <c r="R19">
        <v>17.9</v>
      </c>
      <c r="S19">
        <v>17.1</v>
      </c>
      <c r="T19">
        <v>618.45</v>
      </c>
      <c r="U19">
        <v>19</v>
      </c>
      <c r="V19">
        <v>651</v>
      </c>
      <c r="X19">
        <f>IF(OR(W19="",Y19=""),"-",IF(OR(ISNUMBER(SEARCH("3 Günlük",Y19)),ISNUMBER(SEARCH("7 Günlük",Y19)),ISNUMBER(SEARCH("Trendyol Satış Fiyatı",Y19))),IF(W19&gt;=I19,P19,IF(AND(W19&gt;=K19,W19&lt;=J19),Q19,IF(AND(W19&gt;=M19,W19&lt;=L19),R19,IF(W19&lt;=N19,S19,"-")))),"-"))</f>
        <v>0</v>
      </c>
      <c r="AA19" t="s">
        <v>34</v>
      </c>
    </row>
    <row r="20" spans="1:27">
      <c r="A20" t="s">
        <v>84</v>
      </c>
      <c r="B20" t="s">
        <v>85</v>
      </c>
      <c r="E20" t="s">
        <v>85</v>
      </c>
      <c r="F20" t="s">
        <v>30</v>
      </c>
      <c r="G20" t="s">
        <v>70</v>
      </c>
      <c r="H20">
        <v>15</v>
      </c>
      <c r="I20">
        <v>134.02</v>
      </c>
      <c r="J20">
        <v>134.01</v>
      </c>
      <c r="K20">
        <v>127.36</v>
      </c>
      <c r="L20">
        <v>127.35</v>
      </c>
      <c r="M20">
        <v>119.28</v>
      </c>
      <c r="N20">
        <v>119.27</v>
      </c>
      <c r="O20" t="s">
        <v>32</v>
      </c>
      <c r="P20">
        <v>19</v>
      </c>
      <c r="Q20">
        <v>18.2</v>
      </c>
      <c r="R20">
        <v>17.1</v>
      </c>
      <c r="S20">
        <v>15.5</v>
      </c>
      <c r="T20">
        <v>180</v>
      </c>
      <c r="U20">
        <v>19</v>
      </c>
      <c r="V20">
        <v>180</v>
      </c>
      <c r="X20">
        <f>IF(OR(W20="",Y20=""),"-",IF(OR(ISNUMBER(SEARCH("3 Günlük",Y20)),ISNUMBER(SEARCH("7 Günlük",Y20)),ISNUMBER(SEARCH("Trendyol Satış Fiyatı",Y20))),IF(W20&gt;=I20,P20,IF(AND(W20&gt;=K20,W20&lt;=J20),Q20,IF(AND(W20&gt;=M20,W20&lt;=L20),R20,IF(W20&lt;=N20,S20,"-")))),"-"))</f>
        <v>0</v>
      </c>
      <c r="AA20" t="s">
        <v>34</v>
      </c>
    </row>
    <row r="21" spans="1:27">
      <c r="A21" t="s">
        <v>86</v>
      </c>
      <c r="B21" t="s">
        <v>87</v>
      </c>
      <c r="E21" t="s">
        <v>87</v>
      </c>
      <c r="F21" t="s">
        <v>30</v>
      </c>
      <c r="G21" t="s">
        <v>37</v>
      </c>
      <c r="H21">
        <v>955</v>
      </c>
      <c r="I21">
        <v>210.25</v>
      </c>
      <c r="J21">
        <v>210.24</v>
      </c>
      <c r="K21">
        <v>195.85</v>
      </c>
      <c r="L21">
        <v>195.84</v>
      </c>
      <c r="M21">
        <v>176.36</v>
      </c>
      <c r="N21">
        <v>176.35</v>
      </c>
      <c r="O21" t="s">
        <v>32</v>
      </c>
      <c r="P21">
        <v>19</v>
      </c>
      <c r="Q21">
        <v>17.8</v>
      </c>
      <c r="R21">
        <v>16.1</v>
      </c>
      <c r="S21">
        <v>13.5</v>
      </c>
      <c r="T21">
        <v>192.6</v>
      </c>
      <c r="U21">
        <v>16.1</v>
      </c>
      <c r="V21">
        <v>250</v>
      </c>
      <c r="X21">
        <f>IF(OR(W21="",Y21=""),"-",IF(OR(ISNUMBER(SEARCH("3 Günlük",Y21)),ISNUMBER(SEARCH("7 Günlük",Y21)),ISNUMBER(SEARCH("Trendyol Satış Fiyatı",Y21))),IF(W21&gt;=I21,P21,IF(AND(W21&gt;=K21,W21&lt;=J21),Q21,IF(AND(W21&gt;=M21,W21&lt;=L21),R21,IF(W21&lt;=N21,S21,"-")))),"-"))</f>
        <v>0</v>
      </c>
      <c r="AA21" t="s">
        <v>34</v>
      </c>
    </row>
    <row r="22" spans="1:27">
      <c r="A22" t="s">
        <v>88</v>
      </c>
      <c r="B22" t="s">
        <v>89</v>
      </c>
      <c r="C22" t="s">
        <v>90</v>
      </c>
      <c r="E22" t="s">
        <v>90</v>
      </c>
      <c r="F22" t="s">
        <v>30</v>
      </c>
      <c r="G22" t="s">
        <v>31</v>
      </c>
      <c r="H22">
        <v>73</v>
      </c>
      <c r="I22">
        <v>160.08</v>
      </c>
      <c r="J22">
        <v>160.07</v>
      </c>
      <c r="K22">
        <v>142.25</v>
      </c>
      <c r="L22">
        <v>142.24</v>
      </c>
      <c r="M22">
        <v>124.01</v>
      </c>
      <c r="N22">
        <v>124</v>
      </c>
      <c r="O22" t="s">
        <v>32</v>
      </c>
      <c r="P22">
        <v>19</v>
      </c>
      <c r="Q22">
        <v>17.3</v>
      </c>
      <c r="R22">
        <v>14.4</v>
      </c>
      <c r="S22">
        <v>10.7</v>
      </c>
      <c r="T22">
        <v>179.55</v>
      </c>
      <c r="U22">
        <v>19</v>
      </c>
      <c r="V22">
        <v>189</v>
      </c>
      <c r="X22">
        <f>IF(OR(W22="",Y22=""),"-",IF(OR(ISNUMBER(SEARCH("3 Günlük",Y22)),ISNUMBER(SEARCH("7 Günlük",Y22)),ISNUMBER(SEARCH("Trendyol Satış Fiyatı",Y22))),IF(W22&gt;=I22,P22,IF(AND(W22&gt;=K22,W22&lt;=J22),Q22,IF(AND(W22&gt;=M22,W22&lt;=L22),R22,IF(W22&lt;=N22,S22,"-")))),"-"))</f>
        <v>0</v>
      </c>
      <c r="AA22" t="s">
        <v>34</v>
      </c>
    </row>
    <row r="23" spans="1:27">
      <c r="A23" t="s">
        <v>91</v>
      </c>
      <c r="B23" t="s">
        <v>92</v>
      </c>
      <c r="C23" t="s">
        <v>93</v>
      </c>
      <c r="E23" t="s">
        <v>93</v>
      </c>
      <c r="F23" t="s">
        <v>30</v>
      </c>
      <c r="G23" t="s">
        <v>31</v>
      </c>
      <c r="H23">
        <v>998</v>
      </c>
      <c r="I23">
        <v>207.92</v>
      </c>
      <c r="J23">
        <v>207.91</v>
      </c>
      <c r="K23">
        <v>193.3</v>
      </c>
      <c r="L23">
        <v>193.29</v>
      </c>
      <c r="M23">
        <v>181.4</v>
      </c>
      <c r="N23">
        <v>181.39</v>
      </c>
      <c r="O23" t="s">
        <v>32</v>
      </c>
      <c r="P23">
        <v>19</v>
      </c>
      <c r="Q23">
        <v>17.8</v>
      </c>
      <c r="R23">
        <v>16.2</v>
      </c>
      <c r="S23">
        <v>14.6</v>
      </c>
      <c r="T23">
        <v>289.18</v>
      </c>
      <c r="U23">
        <v>19</v>
      </c>
      <c r="V23">
        <v>304.4</v>
      </c>
      <c r="X23">
        <f>IF(OR(W23="",Y23=""),"-",IF(OR(ISNUMBER(SEARCH("3 Günlük",Y23)),ISNUMBER(SEARCH("7 Günlük",Y23)),ISNUMBER(SEARCH("Trendyol Satış Fiyatı",Y23))),IF(W23&gt;=I23,P23,IF(AND(W23&gt;=K23,W23&lt;=J23),Q23,IF(AND(W23&gt;=M23,W23&lt;=L23),R23,IF(W23&lt;=N23,S23,"-")))),"-"))</f>
        <v>0</v>
      </c>
      <c r="AA23" t="s">
        <v>34</v>
      </c>
    </row>
    <row r="24" spans="1:27">
      <c r="A24" t="s">
        <v>94</v>
      </c>
      <c r="B24" t="s">
        <v>95</v>
      </c>
      <c r="C24" t="s">
        <v>96</v>
      </c>
      <c r="E24" t="s">
        <v>97</v>
      </c>
      <c r="F24" t="s">
        <v>30</v>
      </c>
      <c r="G24" t="s">
        <v>31</v>
      </c>
      <c r="H24">
        <v>32</v>
      </c>
      <c r="I24">
        <v>4534.72</v>
      </c>
      <c r="J24">
        <v>4534.71</v>
      </c>
      <c r="K24">
        <v>4218.89</v>
      </c>
      <c r="L24">
        <v>4218.88</v>
      </c>
      <c r="M24">
        <v>3816</v>
      </c>
      <c r="N24">
        <v>3815.99</v>
      </c>
      <c r="O24" t="s">
        <v>32</v>
      </c>
      <c r="P24">
        <v>19</v>
      </c>
      <c r="Q24">
        <v>17.8</v>
      </c>
      <c r="R24">
        <v>16.2</v>
      </c>
      <c r="S24">
        <v>13.6</v>
      </c>
      <c r="T24">
        <v>5236.4</v>
      </c>
      <c r="U24">
        <v>19</v>
      </c>
      <c r="V24">
        <v>5512</v>
      </c>
      <c r="X24">
        <f>IF(OR(W24="",Y24=""),"-",IF(OR(ISNUMBER(SEARCH("3 Günlük",Y24)),ISNUMBER(SEARCH("7 Günlük",Y24)),ISNUMBER(SEARCH("Trendyol Satış Fiyatı",Y24))),IF(W24&gt;=I24,P24,IF(AND(W24&gt;=K24,W24&lt;=J24),Q24,IF(AND(W24&gt;=M24,W24&lt;=L24),R24,IF(W24&lt;=N24,S24,"-")))),"-"))</f>
        <v>0</v>
      </c>
      <c r="AA24" t="s">
        <v>34</v>
      </c>
    </row>
    <row r="25" spans="1:27">
      <c r="A25" t="s">
        <v>98</v>
      </c>
      <c r="B25" t="s">
        <v>99</v>
      </c>
      <c r="C25" t="s">
        <v>100</v>
      </c>
      <c r="E25" t="s">
        <v>100</v>
      </c>
      <c r="F25" t="s">
        <v>30</v>
      </c>
      <c r="G25" t="s">
        <v>31</v>
      </c>
      <c r="H25">
        <v>35</v>
      </c>
      <c r="I25">
        <v>2363.07</v>
      </c>
      <c r="J25">
        <v>2363.06</v>
      </c>
      <c r="K25">
        <v>2262.13</v>
      </c>
      <c r="L25">
        <v>2262.12</v>
      </c>
      <c r="M25">
        <v>2173.18</v>
      </c>
      <c r="N25">
        <v>2173.17</v>
      </c>
      <c r="O25" t="s">
        <v>32</v>
      </c>
      <c r="P25">
        <v>19</v>
      </c>
      <c r="Q25">
        <v>18.2</v>
      </c>
      <c r="R25">
        <v>17.3</v>
      </c>
      <c r="S25">
        <v>16.3</v>
      </c>
      <c r="T25">
        <v>2593.5</v>
      </c>
      <c r="U25">
        <v>19</v>
      </c>
      <c r="V25">
        <v>2730</v>
      </c>
      <c r="X25">
        <f>IF(OR(W25="",Y25=""),"-",IF(OR(ISNUMBER(SEARCH("3 Günlük",Y25)),ISNUMBER(SEARCH("7 Günlük",Y25)),ISNUMBER(SEARCH("Trendyol Satış Fiyatı",Y25))),IF(W25&gt;=I25,P25,IF(AND(W25&gt;=K25,W25&lt;=J25),Q25,IF(AND(W25&gt;=M25,W25&lt;=L25),R25,IF(W25&lt;=N25,S25,"-")))),"-"))</f>
        <v>0</v>
      </c>
      <c r="AA25" t="s">
        <v>34</v>
      </c>
    </row>
    <row r="26" spans="1:27">
      <c r="A26" t="s">
        <v>101</v>
      </c>
      <c r="B26" t="s">
        <v>102</v>
      </c>
      <c r="E26" t="s">
        <v>102</v>
      </c>
      <c r="F26" t="s">
        <v>30</v>
      </c>
      <c r="G26" t="s">
        <v>70</v>
      </c>
      <c r="H26">
        <v>2</v>
      </c>
      <c r="I26">
        <v>435.4</v>
      </c>
      <c r="J26">
        <v>435.39</v>
      </c>
      <c r="K26">
        <v>406.96</v>
      </c>
      <c r="L26">
        <v>406.95</v>
      </c>
      <c r="M26">
        <v>372.39</v>
      </c>
      <c r="N26">
        <v>372.38</v>
      </c>
      <c r="O26" t="s">
        <v>32</v>
      </c>
      <c r="P26">
        <v>19</v>
      </c>
      <c r="Q26">
        <v>17.9</v>
      </c>
      <c r="R26">
        <v>16.3</v>
      </c>
      <c r="S26">
        <v>14.2</v>
      </c>
      <c r="T26">
        <v>585</v>
      </c>
      <c r="U26">
        <v>19</v>
      </c>
      <c r="V26">
        <v>585</v>
      </c>
      <c r="X26">
        <f>IF(OR(W26="",Y26=""),"-",IF(OR(ISNUMBER(SEARCH("3 Günlük",Y26)),ISNUMBER(SEARCH("7 Günlük",Y26)),ISNUMBER(SEARCH("Trendyol Satış Fiyatı",Y26))),IF(W26&gt;=I26,P26,IF(AND(W26&gt;=K26,W26&lt;=J26),Q26,IF(AND(W26&gt;=M26,W26&lt;=L26),R26,IF(W26&lt;=N26,S26,"-")))),"-"))</f>
        <v>0</v>
      </c>
      <c r="AA26" t="s">
        <v>34</v>
      </c>
    </row>
    <row r="27" spans="1:27">
      <c r="A27" t="s">
        <v>103</v>
      </c>
      <c r="B27" t="s">
        <v>104</v>
      </c>
      <c r="E27" t="s">
        <v>104</v>
      </c>
      <c r="F27" t="s">
        <v>30</v>
      </c>
      <c r="G27" t="s">
        <v>70</v>
      </c>
      <c r="H27">
        <v>33</v>
      </c>
      <c r="I27">
        <v>2345.24</v>
      </c>
      <c r="J27">
        <v>2345.23</v>
      </c>
      <c r="K27">
        <v>2272.32</v>
      </c>
      <c r="L27">
        <v>2272.31</v>
      </c>
      <c r="M27">
        <v>2208.03</v>
      </c>
      <c r="N27">
        <v>2208.02</v>
      </c>
      <c r="O27" t="s">
        <v>32</v>
      </c>
      <c r="P27">
        <v>19</v>
      </c>
      <c r="Q27">
        <v>18.5</v>
      </c>
      <c r="R27">
        <v>17.8</v>
      </c>
      <c r="S27">
        <v>17.2</v>
      </c>
      <c r="T27">
        <v>2600</v>
      </c>
      <c r="U27">
        <v>19</v>
      </c>
      <c r="V27">
        <v>2600</v>
      </c>
      <c r="X27">
        <f>IF(OR(W27="",Y27=""),"-",IF(OR(ISNUMBER(SEARCH("3 Günlük",Y27)),ISNUMBER(SEARCH("7 Günlük",Y27)),ISNUMBER(SEARCH("Trendyol Satış Fiyatı",Y27))),IF(W27&gt;=I27,P27,IF(AND(W27&gt;=K27,W27&lt;=J27),Q27,IF(AND(W27&gt;=M27,W27&lt;=L27),R27,IF(W27&lt;=N27,S27,"-")))),"-"))</f>
        <v>0</v>
      </c>
      <c r="AA27" t="s">
        <v>34</v>
      </c>
    </row>
    <row r="28" spans="1:27">
      <c r="A28" t="s">
        <v>105</v>
      </c>
      <c r="B28" t="s">
        <v>106</v>
      </c>
      <c r="E28" t="s">
        <v>106</v>
      </c>
      <c r="F28" t="s">
        <v>30</v>
      </c>
      <c r="G28" t="s">
        <v>37</v>
      </c>
      <c r="H28">
        <v>93</v>
      </c>
      <c r="I28">
        <v>418.42</v>
      </c>
      <c r="J28">
        <v>418.41</v>
      </c>
      <c r="K28">
        <v>407.8</v>
      </c>
      <c r="L28">
        <v>407.79</v>
      </c>
      <c r="M28">
        <v>394.92</v>
      </c>
      <c r="N28">
        <v>394.91</v>
      </c>
      <c r="O28" t="s">
        <v>32</v>
      </c>
      <c r="P28">
        <v>19</v>
      </c>
      <c r="Q28">
        <v>15.5</v>
      </c>
      <c r="R28">
        <v>14.9</v>
      </c>
      <c r="S28">
        <v>14.1</v>
      </c>
      <c r="T28">
        <v>440</v>
      </c>
      <c r="U28">
        <v>19</v>
      </c>
      <c r="V28">
        <v>440</v>
      </c>
      <c r="X28">
        <f>IF(OR(W28="",Y28=""),"-",IF(OR(ISNUMBER(SEARCH("3 Günlük",Y28)),ISNUMBER(SEARCH("7 Günlük",Y28)),ISNUMBER(SEARCH("Trendyol Satış Fiyatı",Y28))),IF(W28&gt;=I28,P28,IF(AND(W28&gt;=K28,W28&lt;=J28),Q28,IF(AND(W28&gt;=M28,W28&lt;=L28),R28,IF(W28&lt;=N28,S28,"-")))),"-"))</f>
        <v>0</v>
      </c>
      <c r="AA28" t="s">
        <v>34</v>
      </c>
    </row>
    <row r="29" spans="1:27">
      <c r="A29" t="s">
        <v>107</v>
      </c>
      <c r="B29" t="s">
        <v>108</v>
      </c>
      <c r="E29" t="s">
        <v>109</v>
      </c>
      <c r="F29" t="s">
        <v>30</v>
      </c>
      <c r="G29" t="s">
        <v>110</v>
      </c>
      <c r="H29">
        <v>45</v>
      </c>
      <c r="I29">
        <v>495.53</v>
      </c>
      <c r="J29">
        <v>495.52</v>
      </c>
      <c r="K29">
        <v>468.29</v>
      </c>
      <c r="L29">
        <v>468.28</v>
      </c>
      <c r="M29">
        <v>446.28</v>
      </c>
      <c r="N29">
        <v>446.27</v>
      </c>
      <c r="O29" t="s">
        <v>32</v>
      </c>
      <c r="P29">
        <v>19</v>
      </c>
      <c r="Q29">
        <v>18.1</v>
      </c>
      <c r="R29">
        <v>16.8</v>
      </c>
      <c r="S29">
        <v>15.7</v>
      </c>
      <c r="T29">
        <v>600</v>
      </c>
      <c r="U29">
        <v>19</v>
      </c>
      <c r="V29">
        <v>600</v>
      </c>
      <c r="X29">
        <f>IF(OR(W29="",Y29=""),"-",IF(OR(ISNUMBER(SEARCH("3 Günlük",Y29)),ISNUMBER(SEARCH("7 Günlük",Y29)),ISNUMBER(SEARCH("Trendyol Satış Fiyatı",Y29))),IF(W29&gt;=I29,P29,IF(AND(W29&gt;=K29,W29&lt;=J29),Q29,IF(AND(W29&gt;=M29,W29&lt;=L29),R29,IF(W29&lt;=N29,S29,"-")))),"-"))</f>
        <v>0</v>
      </c>
      <c r="AA29" t="s">
        <v>34</v>
      </c>
    </row>
    <row r="30" spans="1:27">
      <c r="A30" t="s">
        <v>111</v>
      </c>
      <c r="B30" t="s">
        <v>112</v>
      </c>
      <c r="E30" t="s">
        <v>113</v>
      </c>
      <c r="F30" t="s">
        <v>30</v>
      </c>
      <c r="G30" t="s">
        <v>110</v>
      </c>
      <c r="H30">
        <v>49</v>
      </c>
      <c r="I30">
        <v>778.59</v>
      </c>
      <c r="J30">
        <v>778.58</v>
      </c>
      <c r="K30">
        <v>745.39</v>
      </c>
      <c r="L30">
        <v>745.38</v>
      </c>
      <c r="M30">
        <v>701.99</v>
      </c>
      <c r="N30">
        <v>701.98</v>
      </c>
      <c r="O30" t="s">
        <v>32</v>
      </c>
      <c r="P30">
        <v>19</v>
      </c>
      <c r="Q30">
        <v>18.2</v>
      </c>
      <c r="R30">
        <v>17.3</v>
      </c>
      <c r="S30">
        <v>15.9</v>
      </c>
      <c r="T30">
        <v>900</v>
      </c>
      <c r="U30">
        <v>19</v>
      </c>
      <c r="V30">
        <v>900</v>
      </c>
      <c r="X30">
        <f>IF(OR(W30="",Y30=""),"-",IF(OR(ISNUMBER(SEARCH("3 Günlük",Y30)),ISNUMBER(SEARCH("7 Günlük",Y30)),ISNUMBER(SEARCH("Trendyol Satış Fiyatı",Y30))),IF(W30&gt;=I30,P30,IF(AND(W30&gt;=K30,W30&lt;=J30),Q30,IF(AND(W30&gt;=M30,W30&lt;=L30),R30,IF(W30&lt;=N30,S30,"-")))),"-"))</f>
        <v>0</v>
      </c>
      <c r="AA30" t="s">
        <v>34</v>
      </c>
    </row>
    <row r="31" spans="1:27">
      <c r="A31" t="s">
        <v>114</v>
      </c>
      <c r="B31" t="s">
        <v>115</v>
      </c>
      <c r="E31" t="s">
        <v>116</v>
      </c>
      <c r="F31" t="s">
        <v>30</v>
      </c>
      <c r="G31" t="s">
        <v>31</v>
      </c>
      <c r="H31">
        <v>16</v>
      </c>
      <c r="I31">
        <v>149.7</v>
      </c>
      <c r="J31">
        <v>149.69</v>
      </c>
      <c r="K31">
        <v>134.84</v>
      </c>
      <c r="L31">
        <v>134.83</v>
      </c>
      <c r="M31">
        <v>124.01</v>
      </c>
      <c r="N31">
        <v>124</v>
      </c>
      <c r="O31" t="s">
        <v>32</v>
      </c>
      <c r="P31">
        <v>19</v>
      </c>
      <c r="Q31">
        <v>17.5</v>
      </c>
      <c r="R31">
        <v>15</v>
      </c>
      <c r="S31">
        <v>12.9</v>
      </c>
      <c r="T31">
        <v>145.79</v>
      </c>
      <c r="U31">
        <v>17.5</v>
      </c>
      <c r="V31">
        <v>210</v>
      </c>
      <c r="X31">
        <f>IF(OR(W31="",Y31=""),"-",IF(OR(ISNUMBER(SEARCH("3 Günlük",Y31)),ISNUMBER(SEARCH("7 Günlük",Y31)),ISNUMBER(SEARCH("Trendyol Satış Fiyatı",Y31))),IF(W31&gt;=I31,P31,IF(AND(W31&gt;=K31,W31&lt;=J31),Q31,IF(AND(W31&gt;=M31,W31&lt;=L31),R31,IF(W31&lt;=N31,S31,"-")))),"-"))</f>
        <v>0</v>
      </c>
      <c r="AA31" t="s">
        <v>34</v>
      </c>
    </row>
    <row r="32" spans="1:27">
      <c r="A32" t="s">
        <v>117</v>
      </c>
      <c r="B32" t="s">
        <v>118</v>
      </c>
      <c r="C32" t="s">
        <v>119</v>
      </c>
      <c r="E32" t="s">
        <v>119</v>
      </c>
      <c r="F32" t="s">
        <v>30</v>
      </c>
      <c r="G32" t="s">
        <v>31</v>
      </c>
      <c r="H32">
        <v>4</v>
      </c>
      <c r="I32">
        <v>247.02</v>
      </c>
      <c r="J32">
        <v>247.01</v>
      </c>
      <c r="K32">
        <v>228.67</v>
      </c>
      <c r="L32">
        <v>228.66</v>
      </c>
      <c r="M32">
        <v>205.87</v>
      </c>
      <c r="N32">
        <v>205.86</v>
      </c>
      <c r="O32" t="s">
        <v>32</v>
      </c>
      <c r="P32">
        <v>19</v>
      </c>
      <c r="Q32">
        <v>17.7</v>
      </c>
      <c r="R32">
        <v>15.9</v>
      </c>
      <c r="S32">
        <v>13.3</v>
      </c>
      <c r="T32">
        <v>269.32</v>
      </c>
      <c r="U32">
        <v>19</v>
      </c>
      <c r="V32">
        <v>283.5</v>
      </c>
      <c r="X32">
        <f>IF(OR(W32="",Y32=""),"-",IF(OR(ISNUMBER(SEARCH("3 Günlük",Y32)),ISNUMBER(SEARCH("7 Günlük",Y32)),ISNUMBER(SEARCH("Trendyol Satış Fiyatı",Y32))),IF(W32&gt;=I32,P32,IF(AND(W32&gt;=K32,W32&lt;=J32),Q32,IF(AND(W32&gt;=M32,W32&lt;=L32),R32,IF(W32&lt;=N32,S32,"-")))),"-"))</f>
        <v>0</v>
      </c>
      <c r="AA32" t="s">
        <v>34</v>
      </c>
    </row>
    <row r="33" spans="1:27">
      <c r="A33" t="s">
        <v>120</v>
      </c>
      <c r="B33" t="s">
        <v>121</v>
      </c>
      <c r="E33" t="s">
        <v>122</v>
      </c>
      <c r="F33" t="s">
        <v>30</v>
      </c>
      <c r="G33" t="s">
        <v>59</v>
      </c>
      <c r="H33">
        <v>989</v>
      </c>
      <c r="I33">
        <v>322.73</v>
      </c>
      <c r="J33">
        <v>322.72</v>
      </c>
      <c r="K33">
        <v>296.38</v>
      </c>
      <c r="L33">
        <v>296.37</v>
      </c>
      <c r="M33">
        <v>273.17</v>
      </c>
      <c r="N33">
        <v>273.16</v>
      </c>
      <c r="O33" t="s">
        <v>32</v>
      </c>
      <c r="P33">
        <v>19</v>
      </c>
      <c r="Q33">
        <v>17.6</v>
      </c>
      <c r="R33">
        <v>15.6</v>
      </c>
      <c r="S33">
        <v>13.5</v>
      </c>
      <c r="T33">
        <v>540</v>
      </c>
      <c r="U33">
        <v>19</v>
      </c>
      <c r="V33">
        <v>540</v>
      </c>
      <c r="X33">
        <f>IF(OR(W33="",Y33=""),"-",IF(OR(ISNUMBER(SEARCH("3 Günlük",Y33)),ISNUMBER(SEARCH("7 Günlük",Y33)),ISNUMBER(SEARCH("Trendyol Satış Fiyatı",Y33))),IF(W33&gt;=I33,P33,IF(AND(W33&gt;=K33,W33&lt;=J33),Q33,IF(AND(W33&gt;=M33,W33&lt;=L33),R33,IF(W33&lt;=N33,S33,"-")))),"-"))</f>
        <v>0</v>
      </c>
      <c r="AA33" t="s">
        <v>34</v>
      </c>
    </row>
    <row r="34" spans="1:27">
      <c r="A34" t="s">
        <v>123</v>
      </c>
      <c r="B34" t="s">
        <v>124</v>
      </c>
      <c r="E34" t="s">
        <v>125</v>
      </c>
      <c r="F34" t="s">
        <v>30</v>
      </c>
      <c r="G34" t="s">
        <v>37</v>
      </c>
      <c r="H34">
        <v>980</v>
      </c>
      <c r="I34">
        <v>498.17</v>
      </c>
      <c r="J34">
        <v>498.16</v>
      </c>
      <c r="K34">
        <v>485.16</v>
      </c>
      <c r="L34">
        <v>485.15</v>
      </c>
      <c r="M34">
        <v>467.64</v>
      </c>
      <c r="N34">
        <v>467.63</v>
      </c>
      <c r="O34" t="s">
        <v>32</v>
      </c>
      <c r="P34">
        <v>19</v>
      </c>
      <c r="Q34">
        <v>18.5</v>
      </c>
      <c r="R34">
        <v>18</v>
      </c>
      <c r="S34">
        <v>17.1</v>
      </c>
      <c r="T34">
        <v>570</v>
      </c>
      <c r="U34">
        <v>19</v>
      </c>
      <c r="V34">
        <v>570</v>
      </c>
      <c r="X34">
        <f>IF(OR(W34="",Y34=""),"-",IF(OR(ISNUMBER(SEARCH("3 Günlük",Y34)),ISNUMBER(SEARCH("7 Günlük",Y34)),ISNUMBER(SEARCH("Trendyol Satış Fiyatı",Y34))),IF(W34&gt;=I34,P34,IF(AND(W34&gt;=K34,W34&lt;=J34),Q34,IF(AND(W34&gt;=M34,W34&lt;=L34),R34,IF(W34&lt;=N34,S34,"-")))),"-"))</f>
        <v>0</v>
      </c>
      <c r="AA34" t="s">
        <v>34</v>
      </c>
    </row>
    <row r="35" spans="1:27">
      <c r="A35" t="s">
        <v>126</v>
      </c>
      <c r="B35" t="s">
        <v>127</v>
      </c>
      <c r="E35" t="s">
        <v>128</v>
      </c>
      <c r="F35" t="s">
        <v>30</v>
      </c>
      <c r="G35" t="s">
        <v>37</v>
      </c>
      <c r="H35">
        <v>987</v>
      </c>
      <c r="I35">
        <v>139.53</v>
      </c>
      <c r="J35">
        <v>139.52</v>
      </c>
      <c r="K35">
        <v>131.04</v>
      </c>
      <c r="L35">
        <v>131.03</v>
      </c>
      <c r="M35">
        <v>119.57</v>
      </c>
      <c r="N35">
        <v>119.56</v>
      </c>
      <c r="O35" t="s">
        <v>32</v>
      </c>
      <c r="P35">
        <v>19</v>
      </c>
      <c r="Q35">
        <v>17.9</v>
      </c>
      <c r="R35">
        <v>16.5</v>
      </c>
      <c r="S35">
        <v>14.2</v>
      </c>
      <c r="T35">
        <v>180</v>
      </c>
      <c r="U35">
        <v>19</v>
      </c>
      <c r="V35">
        <v>180</v>
      </c>
      <c r="X35">
        <f>IF(OR(W35="",Y35=""),"-",IF(OR(ISNUMBER(SEARCH("3 Günlük",Y35)),ISNUMBER(SEARCH("7 Günlük",Y35)),ISNUMBER(SEARCH("Trendyol Satış Fiyatı",Y35))),IF(W35&gt;=I35,P35,IF(AND(W35&gt;=K35,W35&lt;=J35),Q35,IF(AND(W35&gt;=M35,W35&lt;=L35),R35,IF(W35&lt;=N35,S35,"-")))),"-"))</f>
        <v>0</v>
      </c>
      <c r="AA35" t="s">
        <v>34</v>
      </c>
    </row>
    <row r="36" spans="1:27">
      <c r="A36" t="s">
        <v>129</v>
      </c>
      <c r="B36" t="s">
        <v>130</v>
      </c>
      <c r="C36" t="s">
        <v>131</v>
      </c>
      <c r="E36" t="s">
        <v>131</v>
      </c>
      <c r="F36" t="s">
        <v>30</v>
      </c>
      <c r="G36" t="s">
        <v>31</v>
      </c>
      <c r="H36">
        <v>999</v>
      </c>
      <c r="I36">
        <v>10007.82</v>
      </c>
      <c r="J36">
        <v>10007.81</v>
      </c>
      <c r="K36">
        <v>9056.26</v>
      </c>
      <c r="L36">
        <v>9056.25</v>
      </c>
      <c r="M36">
        <v>8068.6</v>
      </c>
      <c r="N36">
        <v>8068.59</v>
      </c>
      <c r="O36" t="s">
        <v>32</v>
      </c>
      <c r="P36">
        <v>19</v>
      </c>
      <c r="Q36">
        <v>18</v>
      </c>
      <c r="R36">
        <v>15.7</v>
      </c>
      <c r="S36">
        <v>12.7</v>
      </c>
      <c r="T36">
        <v>10473.75</v>
      </c>
      <c r="U36">
        <v>19</v>
      </c>
      <c r="V36">
        <v>11025</v>
      </c>
      <c r="X36">
        <f>IF(OR(W36="",Y36=""),"-",IF(OR(ISNUMBER(SEARCH("3 Günlük",Y36)),ISNUMBER(SEARCH("7 Günlük",Y36)),ISNUMBER(SEARCH("Trendyol Satış Fiyatı",Y36))),IF(W36&gt;=I36,P36,IF(AND(W36&gt;=K36,W36&lt;=J36),Q36,IF(AND(W36&gt;=M36,W36&lt;=L36),R36,IF(W36&lt;=N36,S36,"-")))),"-"))</f>
        <v>0</v>
      </c>
      <c r="AA36" t="s">
        <v>34</v>
      </c>
    </row>
    <row r="37" spans="1:27">
      <c r="A37" t="s">
        <v>132</v>
      </c>
      <c r="B37" t="s">
        <v>133</v>
      </c>
      <c r="C37" t="s">
        <v>134</v>
      </c>
      <c r="E37" t="s">
        <v>134</v>
      </c>
      <c r="F37" t="s">
        <v>30</v>
      </c>
      <c r="G37" t="s">
        <v>31</v>
      </c>
      <c r="H37">
        <v>990</v>
      </c>
      <c r="I37">
        <v>955.13</v>
      </c>
      <c r="J37">
        <v>955.12</v>
      </c>
      <c r="K37">
        <v>890.34</v>
      </c>
      <c r="L37">
        <v>890.33</v>
      </c>
      <c r="M37">
        <v>835.95</v>
      </c>
      <c r="N37">
        <v>835.9400000000001</v>
      </c>
      <c r="O37" t="s">
        <v>32</v>
      </c>
      <c r="P37">
        <v>19</v>
      </c>
      <c r="Q37">
        <v>17.8</v>
      </c>
      <c r="R37">
        <v>16.2</v>
      </c>
      <c r="S37">
        <v>14.7</v>
      </c>
      <c r="T37">
        <v>997.5</v>
      </c>
      <c r="U37">
        <v>19</v>
      </c>
      <c r="V37">
        <v>1050</v>
      </c>
      <c r="X37">
        <f>IF(OR(W37="",Y37=""),"-",IF(OR(ISNUMBER(SEARCH("3 Günlük",Y37)),ISNUMBER(SEARCH("7 Günlük",Y37)),ISNUMBER(SEARCH("Trendyol Satış Fiyatı",Y37))),IF(W37&gt;=I37,P37,IF(AND(W37&gt;=K37,W37&lt;=J37),Q37,IF(AND(W37&gt;=M37,W37&lt;=L37),R37,IF(W37&lt;=N37,S37,"-")))),"-"))</f>
        <v>0</v>
      </c>
      <c r="AA37" t="s">
        <v>34</v>
      </c>
    </row>
    <row r="38" spans="1:27">
      <c r="A38" t="s">
        <v>135</v>
      </c>
      <c r="B38" t="s">
        <v>136</v>
      </c>
      <c r="C38" t="s">
        <v>137</v>
      </c>
      <c r="E38" t="s">
        <v>137</v>
      </c>
      <c r="F38" t="s">
        <v>30</v>
      </c>
      <c r="G38" t="s">
        <v>31</v>
      </c>
      <c r="H38">
        <v>986</v>
      </c>
      <c r="I38">
        <v>408.35</v>
      </c>
      <c r="J38">
        <v>408.34</v>
      </c>
      <c r="K38">
        <v>380.82</v>
      </c>
      <c r="L38">
        <v>380.81</v>
      </c>
      <c r="M38">
        <v>346.77</v>
      </c>
      <c r="N38">
        <v>346.76</v>
      </c>
      <c r="O38" t="s">
        <v>32</v>
      </c>
      <c r="P38">
        <v>19</v>
      </c>
      <c r="Q38">
        <v>17.9</v>
      </c>
      <c r="R38">
        <v>16.3</v>
      </c>
      <c r="S38">
        <v>14</v>
      </c>
      <c r="T38">
        <v>418</v>
      </c>
      <c r="U38">
        <v>19</v>
      </c>
      <c r="V38">
        <v>440</v>
      </c>
      <c r="X38">
        <f>IF(OR(W38="",Y38=""),"-",IF(OR(ISNUMBER(SEARCH("3 Günlük",Y38)),ISNUMBER(SEARCH("7 Günlük",Y38)),ISNUMBER(SEARCH("Trendyol Satış Fiyatı",Y38))),IF(W38&gt;=I38,P38,IF(AND(W38&gt;=K38,W38&lt;=J38),Q38,IF(AND(W38&gt;=M38,W38&lt;=L38),R38,IF(W38&lt;=N38,S38,"-")))),"-"))</f>
        <v>0</v>
      </c>
      <c r="AA38" t="s">
        <v>34</v>
      </c>
    </row>
    <row r="39" spans="1:27">
      <c r="A39" t="s">
        <v>138</v>
      </c>
      <c r="B39" t="s">
        <v>139</v>
      </c>
      <c r="C39" t="s">
        <v>140</v>
      </c>
      <c r="E39" t="s">
        <v>140</v>
      </c>
      <c r="F39" t="s">
        <v>30</v>
      </c>
      <c r="G39" t="s">
        <v>31</v>
      </c>
      <c r="H39">
        <v>987</v>
      </c>
      <c r="I39">
        <v>689.17</v>
      </c>
      <c r="J39">
        <v>689.16</v>
      </c>
      <c r="K39">
        <v>644.3099999999999</v>
      </c>
      <c r="L39">
        <v>644.3</v>
      </c>
      <c r="M39">
        <v>606.46</v>
      </c>
      <c r="N39">
        <v>606.45</v>
      </c>
      <c r="O39" t="s">
        <v>32</v>
      </c>
      <c r="P39">
        <v>19</v>
      </c>
      <c r="Q39">
        <v>17.9</v>
      </c>
      <c r="R39">
        <v>16.4</v>
      </c>
      <c r="S39">
        <v>14.9</v>
      </c>
      <c r="T39">
        <v>722</v>
      </c>
      <c r="U39">
        <v>19</v>
      </c>
      <c r="V39">
        <v>760</v>
      </c>
      <c r="X39">
        <f>IF(OR(W39="",Y39=""),"-",IF(OR(ISNUMBER(SEARCH("3 Günlük",Y39)),ISNUMBER(SEARCH("7 Günlük",Y39)),ISNUMBER(SEARCH("Trendyol Satış Fiyatı",Y39))),IF(W39&gt;=I39,P39,IF(AND(W39&gt;=K39,W39&lt;=J39),Q39,IF(AND(W39&gt;=M39,W39&lt;=L39),R39,IF(W39&lt;=N39,S39,"-")))),"-"))</f>
        <v>0</v>
      </c>
      <c r="AA39" t="s">
        <v>34</v>
      </c>
    </row>
    <row r="40" spans="1:27">
      <c r="A40" t="s">
        <v>141</v>
      </c>
      <c r="B40" t="s">
        <v>142</v>
      </c>
      <c r="C40" t="s">
        <v>143</v>
      </c>
      <c r="E40" t="s">
        <v>143</v>
      </c>
      <c r="F40" t="s">
        <v>30</v>
      </c>
      <c r="G40" t="s">
        <v>31</v>
      </c>
      <c r="H40">
        <v>962</v>
      </c>
      <c r="I40">
        <v>241.07</v>
      </c>
      <c r="J40">
        <v>241.06</v>
      </c>
      <c r="K40">
        <v>218.07</v>
      </c>
      <c r="L40">
        <v>218.06</v>
      </c>
      <c r="M40">
        <v>199.33</v>
      </c>
      <c r="N40">
        <v>199.32</v>
      </c>
      <c r="O40" t="s">
        <v>32</v>
      </c>
      <c r="P40">
        <v>19</v>
      </c>
      <c r="Q40">
        <v>17.3</v>
      </c>
      <c r="R40">
        <v>15</v>
      </c>
      <c r="S40">
        <v>12.6</v>
      </c>
      <c r="T40">
        <v>259.35</v>
      </c>
      <c r="U40">
        <v>19</v>
      </c>
      <c r="V40">
        <v>273</v>
      </c>
      <c r="X40">
        <f>IF(OR(W40="",Y40=""),"-",IF(OR(ISNUMBER(SEARCH("3 Günlük",Y40)),ISNUMBER(SEARCH("7 Günlük",Y40)),ISNUMBER(SEARCH("Trendyol Satış Fiyatı",Y40))),IF(W40&gt;=I40,P40,IF(AND(W40&gt;=K40,W40&lt;=J40),Q40,IF(AND(W40&gt;=M40,W40&lt;=L40),R40,IF(W40&lt;=N40,S40,"-")))),"-"))</f>
        <v>0</v>
      </c>
      <c r="AA40" t="s">
        <v>34</v>
      </c>
    </row>
    <row r="41" spans="1:27">
      <c r="A41" t="s">
        <v>144</v>
      </c>
      <c r="B41" t="s">
        <v>145</v>
      </c>
      <c r="C41" t="s">
        <v>146</v>
      </c>
      <c r="E41" t="s">
        <v>146</v>
      </c>
      <c r="F41" t="s">
        <v>30</v>
      </c>
      <c r="G41" t="s">
        <v>31</v>
      </c>
      <c r="H41">
        <v>1966</v>
      </c>
      <c r="I41">
        <v>258.45</v>
      </c>
      <c r="J41">
        <v>258.44</v>
      </c>
      <c r="K41">
        <v>244.66</v>
      </c>
      <c r="L41">
        <v>244.65</v>
      </c>
      <c r="M41">
        <v>226.04</v>
      </c>
      <c r="N41">
        <v>226.03</v>
      </c>
      <c r="O41" t="s">
        <v>32</v>
      </c>
      <c r="P41">
        <v>19</v>
      </c>
      <c r="Q41">
        <v>18.1</v>
      </c>
      <c r="R41">
        <v>16.8</v>
      </c>
      <c r="S41">
        <v>14.9</v>
      </c>
      <c r="T41">
        <v>232.78</v>
      </c>
      <c r="U41">
        <v>16.8</v>
      </c>
      <c r="V41">
        <v>285</v>
      </c>
      <c r="X41">
        <f>IF(OR(W41="",Y41=""),"-",IF(OR(ISNUMBER(SEARCH("3 Günlük",Y41)),ISNUMBER(SEARCH("7 Günlük",Y41)),ISNUMBER(SEARCH("Trendyol Satış Fiyatı",Y41))),IF(W41&gt;=I41,P41,IF(AND(W41&gt;=K41,W41&lt;=J41),Q41,IF(AND(W41&gt;=M41,W41&lt;=L41),R41,IF(W41&lt;=N41,S41,"-")))),"-"))</f>
        <v>0</v>
      </c>
      <c r="AA41" t="s">
        <v>34</v>
      </c>
    </row>
    <row r="42" spans="1:27">
      <c r="A42" t="s">
        <v>147</v>
      </c>
      <c r="B42" t="s">
        <v>148</v>
      </c>
      <c r="C42" t="s">
        <v>149</v>
      </c>
      <c r="E42" t="s">
        <v>149</v>
      </c>
      <c r="F42" t="s">
        <v>30</v>
      </c>
      <c r="G42" t="s">
        <v>31</v>
      </c>
      <c r="H42">
        <v>3</v>
      </c>
      <c r="I42">
        <v>542.2</v>
      </c>
      <c r="J42">
        <v>542.1900000000001</v>
      </c>
      <c r="K42">
        <v>504.54</v>
      </c>
      <c r="L42">
        <v>504.53</v>
      </c>
      <c r="M42">
        <v>473.3</v>
      </c>
      <c r="N42">
        <v>473.29</v>
      </c>
      <c r="O42" t="s">
        <v>32</v>
      </c>
      <c r="P42">
        <v>19</v>
      </c>
      <c r="Q42">
        <v>17.9</v>
      </c>
      <c r="R42">
        <v>16.2</v>
      </c>
      <c r="S42">
        <v>14.6</v>
      </c>
      <c r="T42">
        <v>511.51</v>
      </c>
      <c r="U42">
        <v>17.9</v>
      </c>
      <c r="V42">
        <v>629.9</v>
      </c>
      <c r="X42">
        <f>IF(OR(W42="",Y42=""),"-",IF(OR(ISNUMBER(SEARCH("3 Günlük",Y42)),ISNUMBER(SEARCH("7 Günlük",Y42)),ISNUMBER(SEARCH("Trendyol Satış Fiyatı",Y42))),IF(W42&gt;=I42,P42,IF(AND(W42&gt;=K42,W42&lt;=J42),Q42,IF(AND(W42&gt;=M42,W42&lt;=L42),R42,IF(W42&lt;=N42,S42,"-")))),"-"))</f>
        <v>0</v>
      </c>
      <c r="AA42" t="s">
        <v>34</v>
      </c>
    </row>
    <row r="43" spans="1:27">
      <c r="A43" t="s">
        <v>150</v>
      </c>
      <c r="B43" t="s">
        <v>151</v>
      </c>
      <c r="C43" t="s">
        <v>152</v>
      </c>
      <c r="E43" t="s">
        <v>152</v>
      </c>
      <c r="F43" t="s">
        <v>30</v>
      </c>
      <c r="G43" t="s">
        <v>31</v>
      </c>
      <c r="H43">
        <v>13</v>
      </c>
      <c r="I43">
        <v>773.17</v>
      </c>
      <c r="J43">
        <v>773.16</v>
      </c>
      <c r="K43">
        <v>729.2</v>
      </c>
      <c r="L43">
        <v>729.1900000000001</v>
      </c>
      <c r="M43">
        <v>691.83</v>
      </c>
      <c r="N43">
        <v>691.8200000000001</v>
      </c>
      <c r="O43" t="s">
        <v>32</v>
      </c>
      <c r="P43">
        <v>19</v>
      </c>
      <c r="Q43">
        <v>18.1</v>
      </c>
      <c r="R43">
        <v>16.7</v>
      </c>
      <c r="S43">
        <v>15.5</v>
      </c>
      <c r="T43">
        <v>917.7</v>
      </c>
      <c r="U43">
        <v>19</v>
      </c>
      <c r="V43">
        <v>966</v>
      </c>
      <c r="X43">
        <f>IF(OR(W43="",Y43=""),"-",IF(OR(ISNUMBER(SEARCH("3 Günlük",Y43)),ISNUMBER(SEARCH("7 Günlük",Y43)),ISNUMBER(SEARCH("Trendyol Satış Fiyatı",Y43))),IF(W43&gt;=I43,P43,IF(AND(W43&gt;=K43,W43&lt;=J43),Q43,IF(AND(W43&gt;=M43,W43&lt;=L43),R43,IF(W43&lt;=N43,S43,"-")))),"-"))</f>
        <v>0</v>
      </c>
      <c r="AA43" t="s">
        <v>34</v>
      </c>
    </row>
    <row r="44" spans="1:27">
      <c r="A44" t="s">
        <v>153</v>
      </c>
      <c r="B44" t="s">
        <v>154</v>
      </c>
      <c r="C44" t="s">
        <v>155</v>
      </c>
      <c r="E44" t="s">
        <v>156</v>
      </c>
      <c r="F44" t="s">
        <v>30</v>
      </c>
      <c r="G44" t="s">
        <v>31</v>
      </c>
      <c r="H44">
        <v>985</v>
      </c>
      <c r="I44">
        <v>385.65</v>
      </c>
      <c r="J44">
        <v>385.64</v>
      </c>
      <c r="K44">
        <v>353.52</v>
      </c>
      <c r="L44">
        <v>353.51</v>
      </c>
      <c r="M44">
        <v>326.93</v>
      </c>
      <c r="N44">
        <v>326.92</v>
      </c>
      <c r="O44" t="s">
        <v>32</v>
      </c>
      <c r="P44">
        <v>19</v>
      </c>
      <c r="Q44">
        <v>17.6</v>
      </c>
      <c r="R44">
        <v>15.5</v>
      </c>
      <c r="S44">
        <v>13.5</v>
      </c>
      <c r="T44">
        <v>427.5</v>
      </c>
      <c r="U44">
        <v>19</v>
      </c>
      <c r="V44">
        <v>450</v>
      </c>
      <c r="X44">
        <f>IF(OR(W44="",Y44=""),"-",IF(OR(ISNUMBER(SEARCH("3 Günlük",Y44)),ISNUMBER(SEARCH("7 Günlük",Y44)),ISNUMBER(SEARCH("Trendyol Satış Fiyatı",Y44))),IF(W44&gt;=I44,P44,IF(AND(W44&gt;=K44,W44&lt;=J44),Q44,IF(AND(W44&gt;=M44,W44&lt;=L44),R44,IF(W44&lt;=N44,S44,"-")))),"-"))</f>
        <v>0</v>
      </c>
      <c r="AA44" t="s">
        <v>34</v>
      </c>
    </row>
    <row r="45" spans="1:27">
      <c r="A45" t="s">
        <v>157</v>
      </c>
      <c r="B45" t="s">
        <v>158</v>
      </c>
      <c r="C45" t="s">
        <v>159</v>
      </c>
      <c r="E45" t="s">
        <v>159</v>
      </c>
      <c r="F45" t="s">
        <v>30</v>
      </c>
      <c r="G45" t="s">
        <v>31</v>
      </c>
      <c r="H45">
        <v>20</v>
      </c>
      <c r="I45">
        <v>307.51</v>
      </c>
      <c r="J45">
        <v>307.5</v>
      </c>
      <c r="K45">
        <v>286.8</v>
      </c>
      <c r="L45">
        <v>286.79</v>
      </c>
      <c r="M45">
        <v>261.1</v>
      </c>
      <c r="N45">
        <v>261.09</v>
      </c>
      <c r="O45" t="s">
        <v>32</v>
      </c>
      <c r="P45">
        <v>19</v>
      </c>
      <c r="Q45">
        <v>17.9</v>
      </c>
      <c r="R45">
        <v>16.3</v>
      </c>
      <c r="S45">
        <v>14</v>
      </c>
      <c r="T45">
        <v>293.85</v>
      </c>
      <c r="U45">
        <v>17.9</v>
      </c>
      <c r="V45">
        <v>355.95</v>
      </c>
      <c r="X45">
        <f>IF(OR(W45="",Y45=""),"-",IF(OR(ISNUMBER(SEARCH("3 Günlük",Y45)),ISNUMBER(SEARCH("7 Günlük",Y45)),ISNUMBER(SEARCH("Trendyol Satış Fiyatı",Y45))),IF(W45&gt;=I45,P45,IF(AND(W45&gt;=K45,W45&lt;=J45),Q45,IF(AND(W45&gt;=M45,W45&lt;=L45),R45,IF(W45&lt;=N45,S45,"-")))),"-"))</f>
        <v>0</v>
      </c>
      <c r="AA45" t="s">
        <v>34</v>
      </c>
    </row>
    <row r="46" spans="1:27">
      <c r="A46" t="s">
        <v>160</v>
      </c>
      <c r="B46" t="s">
        <v>161</v>
      </c>
      <c r="C46" t="s">
        <v>162</v>
      </c>
      <c r="E46" t="s">
        <v>163</v>
      </c>
      <c r="F46" t="s">
        <v>30</v>
      </c>
      <c r="G46" t="s">
        <v>31</v>
      </c>
      <c r="H46">
        <v>46</v>
      </c>
      <c r="I46">
        <v>8386.92</v>
      </c>
      <c r="J46">
        <v>8386.91</v>
      </c>
      <c r="K46">
        <v>8010.4</v>
      </c>
      <c r="L46">
        <v>8010.39</v>
      </c>
      <c r="M46">
        <v>7526.43</v>
      </c>
      <c r="N46">
        <v>7526.42</v>
      </c>
      <c r="O46" t="s">
        <v>32</v>
      </c>
      <c r="P46">
        <v>19</v>
      </c>
      <c r="Q46">
        <v>18.3</v>
      </c>
      <c r="R46">
        <v>17.3</v>
      </c>
      <c r="S46">
        <v>15.8</v>
      </c>
      <c r="T46">
        <v>8877.75</v>
      </c>
      <c r="U46">
        <v>19</v>
      </c>
      <c r="V46">
        <v>9345</v>
      </c>
      <c r="X46">
        <f>IF(OR(W46="",Y46=""),"-",IF(OR(ISNUMBER(SEARCH("3 Günlük",Y46)),ISNUMBER(SEARCH("7 Günlük",Y46)),ISNUMBER(SEARCH("Trendyol Satış Fiyatı",Y46))),IF(W46&gt;=I46,P46,IF(AND(W46&gt;=K46,W46&lt;=J46),Q46,IF(AND(W46&gt;=M46,W46&lt;=L46),R46,IF(W46&lt;=N46,S46,"-")))),"-"))</f>
        <v>0</v>
      </c>
      <c r="AA46" t="s">
        <v>34</v>
      </c>
    </row>
    <row r="47" spans="1:27">
      <c r="A47" t="s">
        <v>164</v>
      </c>
      <c r="B47" t="s">
        <v>165</v>
      </c>
      <c r="C47" t="s">
        <v>166</v>
      </c>
      <c r="E47" t="s">
        <v>167</v>
      </c>
      <c r="F47" t="s">
        <v>30</v>
      </c>
      <c r="G47" t="s">
        <v>31</v>
      </c>
      <c r="H47">
        <v>49</v>
      </c>
      <c r="I47">
        <v>4002</v>
      </c>
      <c r="J47">
        <v>4001.99</v>
      </c>
      <c r="K47">
        <v>3621.49</v>
      </c>
      <c r="L47">
        <v>3621.48</v>
      </c>
      <c r="M47">
        <v>3226.54</v>
      </c>
      <c r="N47">
        <v>3226.53</v>
      </c>
      <c r="O47" t="s">
        <v>32</v>
      </c>
      <c r="P47">
        <v>19</v>
      </c>
      <c r="Q47">
        <v>18</v>
      </c>
      <c r="R47">
        <v>15.7</v>
      </c>
      <c r="S47">
        <v>12.7</v>
      </c>
      <c r="T47">
        <v>3800.81</v>
      </c>
      <c r="U47">
        <v>18</v>
      </c>
      <c r="V47">
        <v>4410</v>
      </c>
      <c r="X47">
        <f>IF(OR(W47="",Y47=""),"-",IF(OR(ISNUMBER(SEARCH("3 Günlük",Y47)),ISNUMBER(SEARCH("7 Günlük",Y47)),ISNUMBER(SEARCH("Trendyol Satış Fiyatı",Y47))),IF(W47&gt;=I47,P47,IF(AND(W47&gt;=K47,W47&lt;=J47),Q47,IF(AND(W47&gt;=M47,W47&lt;=L47),R47,IF(W47&lt;=N47,S47,"-")))),"-"))</f>
        <v>0</v>
      </c>
      <c r="AA47" t="s">
        <v>34</v>
      </c>
    </row>
    <row r="48" spans="1:27">
      <c r="A48" t="s">
        <v>168</v>
      </c>
      <c r="B48" t="s">
        <v>169</v>
      </c>
      <c r="C48" t="s">
        <v>170</v>
      </c>
      <c r="E48" t="s">
        <v>171</v>
      </c>
      <c r="F48" t="s">
        <v>30</v>
      </c>
      <c r="G48" t="s">
        <v>31</v>
      </c>
      <c r="H48">
        <v>936</v>
      </c>
      <c r="I48">
        <v>669.84</v>
      </c>
      <c r="J48">
        <v>669.83</v>
      </c>
      <c r="K48">
        <v>633.99</v>
      </c>
      <c r="L48">
        <v>633.98</v>
      </c>
      <c r="M48">
        <v>602.38</v>
      </c>
      <c r="N48">
        <v>602.37</v>
      </c>
      <c r="O48" t="s">
        <v>32</v>
      </c>
      <c r="P48">
        <v>19</v>
      </c>
      <c r="Q48">
        <v>18</v>
      </c>
      <c r="R48">
        <v>16.8</v>
      </c>
      <c r="S48">
        <v>15.6</v>
      </c>
      <c r="T48">
        <v>703</v>
      </c>
      <c r="U48">
        <v>19</v>
      </c>
      <c r="V48">
        <v>740</v>
      </c>
      <c r="X48">
        <f>IF(OR(W48="",Y48=""),"-",IF(OR(ISNUMBER(SEARCH("3 Günlük",Y48)),ISNUMBER(SEARCH("7 Günlük",Y48)),ISNUMBER(SEARCH("Trendyol Satış Fiyatı",Y48))),IF(W48&gt;=I48,P48,IF(AND(W48&gt;=K48,W48&lt;=J48),Q48,IF(AND(W48&gt;=M48,W48&lt;=L48),R48,IF(W48&lt;=N48,S48,"-")))),"-"))</f>
        <v>0</v>
      </c>
      <c r="AA48" t="s">
        <v>34</v>
      </c>
    </row>
    <row r="49" spans="1:27">
      <c r="A49" t="s">
        <v>172</v>
      </c>
      <c r="B49" t="s">
        <v>173</v>
      </c>
      <c r="E49" t="s">
        <v>174</v>
      </c>
      <c r="F49" t="s">
        <v>30</v>
      </c>
      <c r="G49" t="s">
        <v>30</v>
      </c>
      <c r="H49">
        <v>44</v>
      </c>
      <c r="I49">
        <v>2244.58</v>
      </c>
      <c r="J49">
        <v>2244.57</v>
      </c>
      <c r="K49">
        <v>2125.49</v>
      </c>
      <c r="L49">
        <v>2125.48</v>
      </c>
      <c r="M49">
        <v>2024.32</v>
      </c>
      <c r="N49">
        <v>2024.31</v>
      </c>
      <c r="O49" t="s">
        <v>32</v>
      </c>
      <c r="P49">
        <v>19</v>
      </c>
      <c r="Q49">
        <v>18.1</v>
      </c>
      <c r="R49">
        <v>16.9</v>
      </c>
      <c r="S49">
        <v>15.8</v>
      </c>
      <c r="T49">
        <v>2600</v>
      </c>
      <c r="U49">
        <v>19</v>
      </c>
      <c r="V49">
        <v>2600</v>
      </c>
      <c r="X49">
        <f>IF(OR(W49="",Y49=""),"-",IF(OR(ISNUMBER(SEARCH("3 Günlük",Y49)),ISNUMBER(SEARCH("7 Günlük",Y49)),ISNUMBER(SEARCH("Trendyol Satış Fiyatı",Y49))),IF(W49&gt;=I49,P49,IF(AND(W49&gt;=K49,W49&lt;=J49),Q49,IF(AND(W49&gt;=M49,W49&lt;=L49),R49,IF(W49&lt;=N49,S49,"-")))),"-"))</f>
        <v>0</v>
      </c>
      <c r="AA49" t="s">
        <v>34</v>
      </c>
    </row>
    <row r="50" spans="1:27">
      <c r="A50" t="s">
        <v>175</v>
      </c>
      <c r="B50" t="s">
        <v>176</v>
      </c>
      <c r="E50" t="s">
        <v>177</v>
      </c>
      <c r="F50" t="s">
        <v>30</v>
      </c>
      <c r="G50" t="s">
        <v>59</v>
      </c>
      <c r="H50">
        <v>30</v>
      </c>
      <c r="I50">
        <v>1294.94</v>
      </c>
      <c r="J50">
        <v>1294.93</v>
      </c>
      <c r="K50">
        <v>1237.63</v>
      </c>
      <c r="L50">
        <v>1237.62</v>
      </c>
      <c r="M50">
        <v>1187.45</v>
      </c>
      <c r="N50">
        <v>1187.44</v>
      </c>
      <c r="O50" t="s">
        <v>32</v>
      </c>
      <c r="P50">
        <v>19</v>
      </c>
      <c r="Q50">
        <v>18.3</v>
      </c>
      <c r="R50">
        <v>17.3</v>
      </c>
      <c r="S50">
        <v>16.3</v>
      </c>
      <c r="T50">
        <v>1399</v>
      </c>
      <c r="U50">
        <v>19</v>
      </c>
      <c r="V50">
        <v>1399</v>
      </c>
      <c r="X50">
        <f>IF(OR(W50="",Y50=""),"-",IF(OR(ISNUMBER(SEARCH("3 Günlük",Y50)),ISNUMBER(SEARCH("7 Günlük",Y50)),ISNUMBER(SEARCH("Trendyol Satış Fiyatı",Y50))),IF(W50&gt;=I50,P50,IF(AND(W50&gt;=K50,W50&lt;=J50),Q50,IF(AND(W50&gt;=M50,W50&lt;=L50),R50,IF(W50&lt;=N50,S50,"-")))),"-"))</f>
        <v>0</v>
      </c>
      <c r="AA50" t="s">
        <v>34</v>
      </c>
    </row>
    <row r="51" spans="1:27">
      <c r="A51" t="s">
        <v>178</v>
      </c>
      <c r="B51" t="s">
        <v>179</v>
      </c>
      <c r="E51" t="s">
        <v>179</v>
      </c>
      <c r="F51" t="s">
        <v>30</v>
      </c>
      <c r="G51" t="s">
        <v>70</v>
      </c>
      <c r="H51">
        <v>97</v>
      </c>
      <c r="I51">
        <v>89.09999999999999</v>
      </c>
      <c r="J51">
        <v>89.09</v>
      </c>
      <c r="K51">
        <v>80.45</v>
      </c>
      <c r="L51">
        <v>80.44</v>
      </c>
      <c r="M51">
        <v>69.05</v>
      </c>
      <c r="N51">
        <v>69.04000000000001</v>
      </c>
      <c r="O51" t="s">
        <v>32</v>
      </c>
      <c r="P51">
        <v>19</v>
      </c>
      <c r="Q51">
        <v>17.3</v>
      </c>
      <c r="R51">
        <v>14.8</v>
      </c>
      <c r="S51">
        <v>10.7</v>
      </c>
      <c r="T51">
        <v>120</v>
      </c>
      <c r="U51">
        <v>19</v>
      </c>
      <c r="V51">
        <v>120</v>
      </c>
      <c r="X51">
        <f>IF(OR(W51="",Y51=""),"-",IF(OR(ISNUMBER(SEARCH("3 Günlük",Y51)),ISNUMBER(SEARCH("7 Günlük",Y51)),ISNUMBER(SEARCH("Trendyol Satış Fiyatı",Y51))),IF(W51&gt;=I51,P51,IF(AND(W51&gt;=K51,W51&lt;=J51),Q51,IF(AND(W51&gt;=M51,W51&lt;=L51),R51,IF(W51&lt;=N51,S51,"-")))),"-"))</f>
        <v>0</v>
      </c>
      <c r="AA51" t="s">
        <v>34</v>
      </c>
    </row>
    <row r="52" spans="1:27">
      <c r="A52" t="s">
        <v>180</v>
      </c>
      <c r="B52" t="s">
        <v>181</v>
      </c>
      <c r="E52" t="s">
        <v>181</v>
      </c>
      <c r="F52" t="s">
        <v>30</v>
      </c>
      <c r="G52" t="s">
        <v>70</v>
      </c>
      <c r="H52">
        <v>8</v>
      </c>
      <c r="I52">
        <v>4841.81</v>
      </c>
      <c r="J52">
        <v>4841.8</v>
      </c>
      <c r="K52">
        <v>4698.64</v>
      </c>
      <c r="L52">
        <v>4698.63</v>
      </c>
      <c r="M52">
        <v>4572</v>
      </c>
      <c r="N52">
        <v>4571.99</v>
      </c>
      <c r="O52" t="s">
        <v>32</v>
      </c>
      <c r="P52">
        <v>19</v>
      </c>
      <c r="Q52">
        <v>18.5</v>
      </c>
      <c r="R52">
        <v>17.9</v>
      </c>
      <c r="S52">
        <v>17.3</v>
      </c>
      <c r="T52">
        <v>4797.38</v>
      </c>
      <c r="U52">
        <v>18.5</v>
      </c>
      <c r="V52">
        <v>5300</v>
      </c>
      <c r="X52">
        <f>IF(OR(W52="",Y52=""),"-",IF(OR(ISNUMBER(SEARCH("3 Günlük",Y52)),ISNUMBER(SEARCH("7 Günlük",Y52)),ISNUMBER(SEARCH("Trendyol Satış Fiyatı",Y52))),IF(W52&gt;=I52,P52,IF(AND(W52&gt;=K52,W52&lt;=J52),Q52,IF(AND(W52&gt;=M52,W52&lt;=L52),R52,IF(W52&lt;=N52,S52,"-")))),"-"))</f>
        <v>0</v>
      </c>
      <c r="AA52" t="s">
        <v>34</v>
      </c>
    </row>
    <row r="53" spans="1:27">
      <c r="A53" t="s">
        <v>182</v>
      </c>
      <c r="B53" t="s">
        <v>183</v>
      </c>
      <c r="E53" t="s">
        <v>184</v>
      </c>
      <c r="F53" t="s">
        <v>30</v>
      </c>
      <c r="G53" t="s">
        <v>70</v>
      </c>
      <c r="H53">
        <v>50</v>
      </c>
      <c r="I53">
        <v>2369.44</v>
      </c>
      <c r="J53">
        <v>2369.43</v>
      </c>
      <c r="K53">
        <v>2144.16</v>
      </c>
      <c r="L53">
        <v>2144.15</v>
      </c>
      <c r="M53">
        <v>1910.32</v>
      </c>
      <c r="N53">
        <v>1910.31</v>
      </c>
      <c r="O53" t="s">
        <v>32</v>
      </c>
      <c r="P53">
        <v>19</v>
      </c>
      <c r="Q53">
        <v>18</v>
      </c>
      <c r="R53">
        <v>15.7</v>
      </c>
      <c r="S53">
        <v>12.7</v>
      </c>
      <c r="T53">
        <v>2600</v>
      </c>
      <c r="U53">
        <v>19</v>
      </c>
      <c r="V53">
        <v>2600</v>
      </c>
      <c r="X53">
        <f>IF(OR(W53="",Y53=""),"-",IF(OR(ISNUMBER(SEARCH("3 Günlük",Y53)),ISNUMBER(SEARCH("7 Günlük",Y53)),ISNUMBER(SEARCH("Trendyol Satış Fiyatı",Y53))),IF(W53&gt;=I53,P53,IF(AND(W53&gt;=K53,W53&lt;=J53),Q53,IF(AND(W53&gt;=M53,W53&lt;=L53),R53,IF(W53&lt;=N53,S53,"-")))),"-"))</f>
        <v>0</v>
      </c>
      <c r="AA53" t="s">
        <v>34</v>
      </c>
    </row>
    <row r="54" spans="1:27">
      <c r="A54" t="s">
        <v>185</v>
      </c>
      <c r="B54" t="s">
        <v>186</v>
      </c>
      <c r="E54" t="s">
        <v>187</v>
      </c>
      <c r="F54" t="s">
        <v>30</v>
      </c>
      <c r="G54" t="s">
        <v>188</v>
      </c>
      <c r="H54">
        <v>24</v>
      </c>
      <c r="I54">
        <v>176.05</v>
      </c>
      <c r="J54">
        <v>176.04</v>
      </c>
      <c r="K54">
        <v>168.46</v>
      </c>
      <c r="L54">
        <v>168.45</v>
      </c>
      <c r="M54">
        <v>158.71</v>
      </c>
      <c r="N54">
        <v>158.7</v>
      </c>
      <c r="O54" t="s">
        <v>32</v>
      </c>
      <c r="P54">
        <v>19</v>
      </c>
      <c r="Q54">
        <v>18.3</v>
      </c>
      <c r="R54">
        <v>17.3</v>
      </c>
      <c r="S54">
        <v>15.9</v>
      </c>
      <c r="T54">
        <v>200</v>
      </c>
      <c r="U54">
        <v>19</v>
      </c>
      <c r="V54">
        <v>200</v>
      </c>
      <c r="X54">
        <f>IF(OR(W54="",Y54=""),"-",IF(OR(ISNUMBER(SEARCH("3 Günlük",Y54)),ISNUMBER(SEARCH("7 Günlük",Y54)),ISNUMBER(SEARCH("Trendyol Satış Fiyatı",Y54))),IF(W54&gt;=I54,P54,IF(AND(W54&gt;=K54,W54&lt;=J54),Q54,IF(AND(W54&gt;=M54,W54&lt;=L54),R54,IF(W54&lt;=N54,S54,"-")))),"-"))</f>
        <v>0</v>
      </c>
      <c r="AA54" t="s">
        <v>34</v>
      </c>
    </row>
    <row r="55" spans="1:27">
      <c r="A55" t="s">
        <v>189</v>
      </c>
      <c r="B55" t="s">
        <v>190</v>
      </c>
      <c r="E55" t="s">
        <v>191</v>
      </c>
      <c r="F55" t="s">
        <v>30</v>
      </c>
      <c r="G55" t="s">
        <v>192</v>
      </c>
      <c r="H55">
        <v>977</v>
      </c>
      <c r="I55">
        <v>87.2</v>
      </c>
      <c r="J55">
        <v>87.19</v>
      </c>
      <c r="K55">
        <v>81.73</v>
      </c>
      <c r="L55">
        <v>81.72</v>
      </c>
      <c r="M55">
        <v>74.34</v>
      </c>
      <c r="N55">
        <v>74.33</v>
      </c>
      <c r="O55" t="s">
        <v>32</v>
      </c>
      <c r="P55">
        <v>19</v>
      </c>
      <c r="Q55">
        <v>17.6</v>
      </c>
      <c r="R55">
        <v>15.8</v>
      </c>
      <c r="S55">
        <v>12.9</v>
      </c>
      <c r="T55">
        <v>84.34999999999999</v>
      </c>
      <c r="U55">
        <v>17.6</v>
      </c>
      <c r="V55">
        <v>150</v>
      </c>
      <c r="X55">
        <f>IF(OR(W55="",Y55=""),"-",IF(OR(ISNUMBER(SEARCH("3 Günlük",Y55)),ISNUMBER(SEARCH("7 Günlük",Y55)),ISNUMBER(SEARCH("Trendyol Satış Fiyatı",Y55))),IF(W55&gt;=I55,P55,IF(AND(W55&gt;=K55,W55&lt;=J55),Q55,IF(AND(W55&gt;=M55,W55&lt;=L55),R55,IF(W55&lt;=N55,S55,"-")))),"-"))</f>
        <v>0</v>
      </c>
      <c r="AA55" t="s">
        <v>34</v>
      </c>
    </row>
    <row r="56" spans="1:27">
      <c r="A56" t="s">
        <v>193</v>
      </c>
      <c r="B56" t="s">
        <v>194</v>
      </c>
      <c r="E56" t="s">
        <v>195</v>
      </c>
      <c r="F56" t="s">
        <v>30</v>
      </c>
      <c r="G56" t="s">
        <v>110</v>
      </c>
      <c r="H56">
        <v>991</v>
      </c>
      <c r="I56">
        <v>153.39</v>
      </c>
      <c r="J56">
        <v>153.38</v>
      </c>
      <c r="K56">
        <v>133.82</v>
      </c>
      <c r="L56">
        <v>133.81</v>
      </c>
      <c r="M56">
        <v>116.22</v>
      </c>
      <c r="N56">
        <v>116.21</v>
      </c>
      <c r="O56" t="s">
        <v>32</v>
      </c>
      <c r="P56">
        <v>19</v>
      </c>
      <c r="Q56">
        <v>13.5</v>
      </c>
      <c r="R56">
        <v>9.6</v>
      </c>
      <c r="S56">
        <v>5</v>
      </c>
      <c r="T56">
        <v>250</v>
      </c>
      <c r="U56">
        <v>19</v>
      </c>
      <c r="V56">
        <v>250</v>
      </c>
      <c r="X56">
        <f>IF(OR(W56="",Y56=""),"-",IF(OR(ISNUMBER(SEARCH("3 Günlük",Y56)),ISNUMBER(SEARCH("7 Günlük",Y56)),ISNUMBER(SEARCH("Trendyol Satış Fiyatı",Y56))),IF(W56&gt;=I56,P56,IF(AND(W56&gt;=K56,W56&lt;=J56),Q56,IF(AND(W56&gt;=M56,W56&lt;=L56),R56,IF(W56&lt;=N56,S56,"-")))),"-"))</f>
        <v>0</v>
      </c>
      <c r="AA5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KomisyonTarifeleriÜrünleri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2026-06-29T23:42:39Z</dcterms:created>
  <dcterms:modified xsi:type="dcterms:W3CDTF">2026-06-29T23:42:39Z</dcterms:modified>
</cp:coreProperties>
</file>