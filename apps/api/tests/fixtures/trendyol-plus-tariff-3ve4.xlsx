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</fonts>
  <fills count="12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7D7A8"/>
      </patternFill>
    </fill>
    <fill>
      <patternFill patternType="solid">
        <fgColor rgb="B7D7A8"/>
      </patternFill>
    </fill>
    <fill>
      <patternFill patternType="none">
        <fgColor rgb="E99999"/>
      </patternFill>
    </fill>
    <fill>
      <patternFill patternType="solid">
        <fgColor rgb="E99999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9" borderId="4" xfId="0" applyFont="true" applyFill="true" applyBorder="true" applyAlignment="true" applyNumberFormat="true">
      <alignment wrapText="true" horizontal="center" vertical="center"/>
    </xf>
    <xf numFmtId="0" fontId="1" fillId="9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9" borderId="4" xfId="0" applyFont="true" applyFill="true" applyBorder="true" applyAlignment="true" applyNumberForma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34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30.0" customWidth="true"/>
    <col min="17" max="17" width="18.0" customWidth="true"/>
    <col min="18" max="18" width="18.0" customWidth="true"/>
    <col min="19" max="19" width="18.0" customWidth="true"/>
    <col min="20" max="20" width="40.0" customWidth="true"/>
    <col min="21" max="21" width="0.0" customWidth="true"/>
    <col min="22" max="22" width="18.0" customWidth="true"/>
    <col min="23" max="23" width="18.0" customWidth="true"/>
    <col min="24" max="24" width="12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  <col min="31" max="31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(3 Gün)</t>
        </is>
      </c>
      <c r="O1" s="15" t="inlineStr">
        <is>
          <t>Plus Komisyon Teklifi</t>
        </is>
      </c>
      <c r="P1" s="16" t="inlineStr">
        <is>
          <t>Tarih Aralığı (4 Gün)</t>
        </is>
      </c>
      <c r="Q1" s="17" t="inlineStr">
        <is>
          <t>Plus Komisyon Teklifi</t>
        </is>
      </c>
      <c r="R1" s="18" t="inlineStr">
        <is>
          <t>Plus Komisyona Esas Fiyatı</t>
        </is>
      </c>
      <c r="S1" s="19" t="inlineStr">
        <is>
          <t>Plus Fiyat Seçimi</t>
        </is>
      </c>
      <c r="T1" s="20" t="inlineStr">
        <is>
          <t>Tarife Seçimi</t>
        </is>
      </c>
      <c r="U1" s="21" t="inlineStr">
        <is>
          <t>External Id</t>
        </is>
      </c>
      <c r="V1" s="22" t="inlineStr">
        <is>
          <t>Hesaplanan Komisyon (3 Gün)</t>
        </is>
      </c>
      <c r="W1" s="23" t="inlineStr">
        <is>
          <t>Hesaplanan Komisyon (4 Gün)</t>
        </is>
      </c>
      <c r="X1" s="24" t="inlineStr">
        <is>
          <t>İptal</t>
        </is>
      </c>
      <c r="Y1" s="25" t="inlineStr">
        <is>
          <t>Tarife Grubu</t>
        </is>
      </c>
      <c r="Z1" s="26" t="inlineStr">
        <is>
          <t>3 Gün Tarih Aralığı</t>
        </is>
      </c>
      <c r="AA1" s="27" t="inlineStr">
        <is>
          <t>4 Gün Tarih Aralığı</t>
        </is>
      </c>
      <c r="AB1" s="28" t="inlineStr">
        <is>
          <t>7 Gün Tarih Aralığı</t>
        </is>
      </c>
      <c r="AC1" s="29" t="inlineStr">
        <is>
          <t>External Id (3 Gün)</t>
        </is>
      </c>
      <c r="AD1" s="30" t="inlineStr">
        <is>
          <t>External Id (4 Gün)</t>
        </is>
      </c>
      <c r="AE1" s="31" t="inlineStr">
        <is>
          <t>External Id (7 Gün)</t>
        </is>
      </c>
    </row>
    <row r="2">
      <c r="A2" s="32" t="inlineStr">
        <is>
          <t>Türk Bayrağı 200×300 cm (2x3 metre) – Raşel Kumaş, Çift Dikiş</t>
        </is>
      </c>
      <c r="B2" s="33" t="inlineStr">
        <is>
          <t>967352546</t>
        </is>
      </c>
      <c r="C2" s="34" t="inlineStr">
        <is>
          <t>2902003000019</t>
        </is>
      </c>
      <c r="D2" s="35" t="inlineStr">
        <is>
          <t>TBR-RAS-200x300</t>
        </is>
      </c>
      <c r="E2" s="36"/>
      <c r="F2" s="37" t="inlineStr">
        <is>
          <t>TBR-RAS-200x300</t>
        </is>
      </c>
      <c r="G2" s="38" t="inlineStr">
        <is>
          <t>Bayrak</t>
        </is>
      </c>
      <c r="H2" s="39" t="inlineStr">
        <is>
          <t>AKYILDIZ store</t>
        </is>
      </c>
      <c r="I2" s="40" t="n">
        <v>416.0</v>
      </c>
      <c r="J2" s="41" t="n">
        <v>933.45</v>
      </c>
      <c r="K2" s="42" t="n">
        <v>886.78</v>
      </c>
      <c r="L2" s="43" t="n">
        <v>19.0</v>
      </c>
      <c r="M2" s="44" t="n">
        <v>740.77</v>
      </c>
      <c r="N2" s="45" t="inlineStr">
        <is>
          <t>7 Temmuz 08.00-10 Temmuz 07.59</t>
        </is>
      </c>
      <c r="O2" s="46" t="n">
        <v>10.7</v>
      </c>
      <c r="P2" s="47" t="inlineStr">
        <is>
          <t>10 Temmuz 08.00-14 Temmuz 07.59</t>
        </is>
      </c>
      <c r="Q2" s="48" t="n">
        <v>13.1</v>
      </c>
      <c r="R2" s="49" t="n">
        <v>886.78</v>
      </c>
      <c r="S2" s="50"/>
      <c r="T2" s="51"/>
      <c r="U2" s="52"/>
      <c r="V2" s="53" t="n">
        <f>=IF(OR(S2="", T2="", ISBLANK(O2)), "-", IF(OR(ISNUMBER(SEARCH("3 Günlük", T2)), ISNUMBER(SEARCH("7 Günlük", T2))), IF(S2&lt;=M2, O2, "-"), "-"))</f>
        <v>0.0</v>
      </c>
      <c r="W2" s="54" t="n">
        <f>=IF(OR(S2="", T2=""), "-", IF(OR(ISNUMBER(SEARCH("4 Günlük", T2)), ISNUMBER(SEARCH("7 Günlük", T2))), IF(S2&lt;=M2, Q2, "-"), "-"))</f>
        <v>0.0</v>
      </c>
      <c r="X2" s="55" t="str">
        <f>=IF(ISBLANK(S2), "", "Hayır")</f>
      </c>
      <c r="Y2" s="56" t="inlineStr">
        <is>
          <t>f342732d-532c-4e1a-9291-1629817e7404</t>
        </is>
      </c>
      <c r="Z2" s="57" t="inlineStr">
        <is>
          <t>3 Günlük Fiyat (7 Temmuz 08.00-10 Temmuz 07.59)</t>
        </is>
      </c>
      <c r="AA2" s="58" t="inlineStr">
        <is>
          <t>4 Günlük Fiyat (10 Temmuz 08.00-14 Temmuz 07.59)</t>
        </is>
      </c>
      <c r="AB2" s="59" t="inlineStr">
        <is>
          <t>7 Günlük Fiyat</t>
        </is>
      </c>
      <c r="AC2" s="60"/>
      <c r="AD2" s="61"/>
      <c r="AE2" s="62"/>
    </row>
    <row r="3">
      <c r="A3" s="32" t="inlineStr">
        <is>
          <t>Raşel Türk Bayrağı 100×150 cm – Kaliteli Üretim</t>
        </is>
      </c>
      <c r="B3" s="33" t="inlineStr">
        <is>
          <t>962489213</t>
        </is>
      </c>
      <c r="C3" s="34" t="inlineStr">
        <is>
          <t>8569742369822</t>
        </is>
      </c>
      <c r="D3" s="35" t="inlineStr">
        <is>
          <t>TBR-RAS-100x150</t>
        </is>
      </c>
      <c r="E3" s="36"/>
      <c r="F3" s="37" t="inlineStr">
        <is>
          <t>TRB100150</t>
        </is>
      </c>
      <c r="G3" s="38" t="inlineStr">
        <is>
          <t>Bayrak</t>
        </is>
      </c>
      <c r="H3" s="39" t="inlineStr">
        <is>
          <t>AKYILDIZ store</t>
        </is>
      </c>
      <c r="I3" s="40" t="n">
        <v>22.0</v>
      </c>
      <c r="J3" s="41" t="n">
        <v>357.0</v>
      </c>
      <c r="K3" s="42" t="n">
        <v>339.15</v>
      </c>
      <c r="L3" s="43" t="n">
        <v>19.0</v>
      </c>
      <c r="M3" s="44" t="n">
        <v>290.22</v>
      </c>
      <c r="N3" s="45" t="inlineStr">
        <is>
          <t>7 Temmuz 08.00-10 Temmuz 07.59</t>
        </is>
      </c>
      <c r="O3" s="46" t="n">
        <v>8.9</v>
      </c>
      <c r="P3" s="47" t="inlineStr">
        <is>
          <t>10 Temmuz 08.00-14 Temmuz 07.59</t>
        </is>
      </c>
      <c r="Q3" s="48" t="n">
        <v>11.5</v>
      </c>
      <c r="R3" s="49" t="n">
        <v>339.15</v>
      </c>
      <c r="S3" s="50"/>
      <c r="T3" s="51"/>
      <c r="U3" s="52"/>
      <c r="V3" s="53" t="n">
        <f>=IF(OR(S3="", T3="", ISBLANK(O3)), "-", IF(OR(ISNUMBER(SEARCH("3 Günlük", T3)), ISNUMBER(SEARCH("7 Günlük", T3))), IF(S3&lt;=M3, O3, "-"), "-"))</f>
        <v>0.0</v>
      </c>
      <c r="W3" s="54" t="n">
        <f>=IF(OR(S3="", T3=""), "-", IF(OR(ISNUMBER(SEARCH("4 Günlük", T3)), ISNUMBER(SEARCH("7 Günlük", T3))), IF(S3&lt;=M3, Q3, "-"), "-"))</f>
        <v>0.0</v>
      </c>
      <c r="X3" s="55" t="str">
        <f>=IF(ISBLANK(S3), "", "Hayır")</f>
      </c>
      <c r="Y3" s="56" t="inlineStr">
        <is>
          <t>f342732d-532c-4e1a-9291-1629817e7404</t>
        </is>
      </c>
      <c r="Z3" s="57" t="inlineStr">
        <is>
          <t>3 Günlük Fiyat (7 Temmuz 08.00-10 Temmuz 07.59)</t>
        </is>
      </c>
      <c r="AA3" s="58" t="inlineStr">
        <is>
          <t>4 Günlük Fiyat (10 Temmuz 08.00-14 Temmuz 07.59)</t>
        </is>
      </c>
      <c r="AB3" s="59" t="inlineStr">
        <is>
          <t>7 Günlük Fiyat</t>
        </is>
      </c>
      <c r="AC3" s="60"/>
      <c r="AD3" s="61"/>
      <c r="AE3" s="62"/>
    </row>
    <row r="4">
      <c r="A4" s="32" t="inlineStr">
        <is>
          <t>150x225 Cm Kumaş Türk Bayrağı - Oda Duvarını Boyut Olarak Boydan Kaplar</t>
        </is>
      </c>
      <c r="B4" s="33" t="inlineStr">
        <is>
          <t>262097202</t>
        </is>
      </c>
      <c r="C4" s="34" t="inlineStr">
        <is>
          <t>TB150X225A</t>
        </is>
      </c>
      <c r="D4" s="35" t="inlineStr">
        <is>
          <t/>
        </is>
      </c>
      <c r="E4" s="36"/>
      <c r="F4" s="37" t="inlineStr">
        <is>
          <t>TB150X225A</t>
        </is>
      </c>
      <c r="G4" s="38" t="inlineStr">
        <is>
          <t>Bayrak</t>
        </is>
      </c>
      <c r="H4" s="39" t="inlineStr">
        <is>
          <t>Alpaka</t>
        </is>
      </c>
      <c r="I4" s="40" t="n">
        <v>13.0</v>
      </c>
      <c r="J4" s="41" t="n">
        <v>600.0</v>
      </c>
      <c r="K4" s="42" t="n">
        <v>600.0</v>
      </c>
      <c r="L4" s="43" t="n">
        <v>19.0</v>
      </c>
      <c r="M4" s="44" t="n">
        <v>458.67</v>
      </c>
      <c r="N4" s="45" t="inlineStr">
        <is>
          <t>7 Temmuz 08.00-10 Temmuz 07.59</t>
        </is>
      </c>
      <c r="O4" s="46" t="n">
        <v>5.9</v>
      </c>
      <c r="P4" s="47" t="inlineStr">
        <is>
          <t>10 Temmuz 08.00-14 Temmuz 07.59</t>
        </is>
      </c>
      <c r="Q4" s="48" t="n">
        <v>10.4</v>
      </c>
      <c r="R4" s="49" t="n">
        <v>600.0</v>
      </c>
      <c r="S4" s="50"/>
      <c r="T4" s="51"/>
      <c r="U4" s="52"/>
      <c r="V4" s="53" t="n">
        <f>=IF(OR(S4="", T4="", ISBLANK(O4)), "-", IF(OR(ISNUMBER(SEARCH("3 Günlük", T4)), ISNUMBER(SEARCH("7 Günlük", T4))), IF(S4&lt;=M4, O4, "-"), "-"))</f>
        <v>0.0</v>
      </c>
      <c r="W4" s="54" t="n">
        <f>=IF(OR(S4="", T4=""), "-", IF(OR(ISNUMBER(SEARCH("4 Günlük", T4)), ISNUMBER(SEARCH("7 Günlük", T4))), IF(S4&lt;=M4, Q4, "-"), "-"))</f>
        <v>0.0</v>
      </c>
      <c r="X4" s="55" t="str">
        <f>=IF(ISBLANK(S4), "", "Hayır")</f>
      </c>
      <c r="Y4" s="56" t="inlineStr">
        <is>
          <t>f342732d-532c-4e1a-9291-1629817e7404</t>
        </is>
      </c>
      <c r="Z4" s="57" t="inlineStr">
        <is>
          <t>3 Günlük Fiyat (7 Temmuz 08.00-10 Temmuz 07.59)</t>
        </is>
      </c>
      <c r="AA4" s="58" t="inlineStr">
        <is>
          <t>4 Günlük Fiyat (10 Temmuz 08.00-14 Temmuz 07.59)</t>
        </is>
      </c>
      <c r="AB4" s="59" t="inlineStr">
        <is>
          <t>7 Günlük Fiyat</t>
        </is>
      </c>
      <c r="AC4" s="60"/>
      <c r="AD4" s="61"/>
      <c r="AE4" s="62"/>
    </row>
    <row r="5">
      <c r="A5" s="32" t="inlineStr">
        <is>
          <t>60x90 Cm Kumaş Türk Bayrağı</t>
        </is>
      </c>
      <c r="B5" s="33" t="inlineStr">
        <is>
          <t>754196574</t>
        </is>
      </c>
      <c r="C5" s="34" t="inlineStr">
        <is>
          <t>TB60X90A</t>
        </is>
      </c>
      <c r="D5" s="35"/>
      <c r="E5" s="36"/>
      <c r="F5" s="37" t="inlineStr">
        <is>
          <t>TB60X90A</t>
        </is>
      </c>
      <c r="G5" s="38" t="inlineStr">
        <is>
          <t>Bayrak</t>
        </is>
      </c>
      <c r="H5" s="39" t="inlineStr">
        <is>
          <t>Alpaka</t>
        </is>
      </c>
      <c r="I5" s="40" t="n">
        <v>72.0</v>
      </c>
      <c r="J5" s="41" t="n">
        <v>170.0</v>
      </c>
      <c r="K5" s="42" t="n">
        <v>170.0</v>
      </c>
      <c r="L5" s="43" t="n">
        <v>19.0</v>
      </c>
      <c r="M5" s="44" t="n">
        <v>138.3</v>
      </c>
      <c r="N5" s="45" t="inlineStr">
        <is>
          <t>7 Temmuz 08.00-10 Temmuz 07.59</t>
        </is>
      </c>
      <c r="O5" s="46" t="n">
        <v>8.7</v>
      </c>
      <c r="P5" s="47" t="inlineStr">
        <is>
          <t>10 Temmuz 08.00-14 Temmuz 07.59</t>
        </is>
      </c>
      <c r="Q5" s="48" t="n">
        <v>12.4</v>
      </c>
      <c r="R5" s="49" t="n">
        <v>170.0</v>
      </c>
      <c r="S5" s="50"/>
      <c r="T5" s="51"/>
      <c r="U5" s="52"/>
      <c r="V5" s="53" t="n">
        <f>=IF(OR(S5="", T5="", ISBLANK(O5)), "-", IF(OR(ISNUMBER(SEARCH("3 Günlük", T5)), ISNUMBER(SEARCH("7 Günlük", T5))), IF(S5&lt;=M5, O5, "-"), "-"))</f>
        <v>0.0</v>
      </c>
      <c r="W5" s="54" t="n">
        <f>=IF(OR(S5="", T5=""), "-", IF(OR(ISNUMBER(SEARCH("4 Günlük", T5)), ISNUMBER(SEARCH("7 Günlük", T5))), IF(S5&lt;=M5, Q5, "-"), "-"))</f>
        <v>0.0</v>
      </c>
      <c r="X5" s="55" t="str">
        <f>=IF(ISBLANK(S5), "", "Hayır")</f>
      </c>
      <c r="Y5" s="56" t="inlineStr">
        <is>
          <t>f342732d-532c-4e1a-9291-1629817e7404</t>
        </is>
      </c>
      <c r="Z5" s="57" t="inlineStr">
        <is>
          <t>3 Günlük Fiyat (7 Temmuz 08.00-10 Temmuz 07.59)</t>
        </is>
      </c>
      <c r="AA5" s="58" t="inlineStr">
        <is>
          <t>4 Günlük Fiyat (10 Temmuz 08.00-14 Temmuz 07.59)</t>
        </is>
      </c>
      <c r="AB5" s="59" t="inlineStr">
        <is>
          <t>7 Günlük Fiyat</t>
        </is>
      </c>
      <c r="AC5" s="60"/>
      <c r="AD5" s="61"/>
      <c r="AE5" s="62"/>
    </row>
    <row r="6">
      <c r="A6" s="32" t="inlineStr">
        <is>
          <t>100x150 Cm Kumaş Türk Bayrağı</t>
        </is>
      </c>
      <c r="B6" s="33" t="inlineStr">
        <is>
          <t>261736356</t>
        </is>
      </c>
      <c r="C6" s="34" t="inlineStr">
        <is>
          <t>TB100X150A</t>
        </is>
      </c>
      <c r="D6" s="35" t="inlineStr">
        <is>
          <t/>
        </is>
      </c>
      <c r="E6" s="36"/>
      <c r="F6" s="37" t="inlineStr">
        <is>
          <t>TB100X150A</t>
        </is>
      </c>
      <c r="G6" s="38" t="inlineStr">
        <is>
          <t>Bayrak</t>
        </is>
      </c>
      <c r="H6" s="39" t="inlineStr">
        <is>
          <t>Alpaka</t>
        </is>
      </c>
      <c r="I6" s="40" t="n">
        <v>88.0</v>
      </c>
      <c r="J6" s="41" t="n">
        <v>360.0</v>
      </c>
      <c r="K6" s="42" t="n">
        <v>360.0</v>
      </c>
      <c r="L6" s="43" t="n">
        <v>19.0</v>
      </c>
      <c r="M6" s="44" t="n">
        <v>246.61</v>
      </c>
      <c r="N6" s="45" t="inlineStr">
        <is>
          <t>7 Temmuz 08.00-10 Temmuz 07.59</t>
        </is>
      </c>
      <c r="O6" s="46" t="n">
        <v>2.7</v>
      </c>
      <c r="P6" s="47" t="inlineStr">
        <is>
          <t>10 Temmuz 08.00-14 Temmuz 07.59</t>
        </is>
      </c>
      <c r="Q6" s="48" t="n">
        <v>4.8</v>
      </c>
      <c r="R6" s="49" t="n">
        <v>360.0</v>
      </c>
      <c r="S6" s="50"/>
      <c r="T6" s="51"/>
      <c r="U6" s="52"/>
      <c r="V6" s="53" t="n">
        <f>=IF(OR(S6="", T6="", ISBLANK(O6)), "-", IF(OR(ISNUMBER(SEARCH("3 Günlük", T6)), ISNUMBER(SEARCH("7 Günlük", T6))), IF(S6&lt;=M6, O6, "-"), "-"))</f>
        <v>0.0</v>
      </c>
      <c r="W6" s="54" t="n">
        <f>=IF(OR(S6="", T6=""), "-", IF(OR(ISNUMBER(SEARCH("4 Günlük", T6)), ISNUMBER(SEARCH("7 Günlük", T6))), IF(S6&lt;=M6, Q6, "-"), "-"))</f>
        <v>0.0</v>
      </c>
      <c r="X6" s="55" t="str">
        <f>=IF(ISBLANK(S6), "", "Hayır")</f>
      </c>
      <c r="Y6" s="56" t="inlineStr">
        <is>
          <t>f342732d-532c-4e1a-9291-1629817e7404</t>
        </is>
      </c>
      <c r="Z6" s="57" t="inlineStr">
        <is>
          <t>3 Günlük Fiyat (7 Temmuz 08.00-10 Temmuz 07.59)</t>
        </is>
      </c>
      <c r="AA6" s="58" t="inlineStr">
        <is>
          <t>4 Günlük Fiyat (10 Temmuz 08.00-14 Temmuz 07.59)</t>
        </is>
      </c>
      <c r="AB6" s="59" t="inlineStr">
        <is>
          <t>7 Günlük Fiyat</t>
        </is>
      </c>
      <c r="AC6" s="60"/>
      <c r="AD6" s="61"/>
      <c r="AE6" s="62"/>
    </row>
    <row r="7">
      <c r="A7" s="32" t="inlineStr">
        <is>
          <t>Türk Bayrağı 60x90 cm - Kaliteli Alpaka Kumaş - İç ve Dış Mekana Uygun</t>
        </is>
      </c>
      <c r="B7" s="33" t="inlineStr">
        <is>
          <t>1071008208</t>
        </is>
      </c>
      <c r="C7" s="34" t="inlineStr">
        <is>
          <t>2002030043093</t>
        </is>
      </c>
      <c r="D7" s="35" t="inlineStr">
        <is>
          <t>TRB-ALP-6090</t>
        </is>
      </c>
      <c r="E7" s="36"/>
      <c r="F7" s="37" t="inlineStr">
        <is>
          <t>TRB-ALP-6090</t>
        </is>
      </c>
      <c r="G7" s="38" t="inlineStr">
        <is>
          <t>Bayrak</t>
        </is>
      </c>
      <c r="H7" s="39" t="inlineStr">
        <is>
          <t>AKYILDIZ store</t>
        </is>
      </c>
      <c r="I7" s="40" t="n">
        <v>952.0</v>
      </c>
      <c r="J7" s="41" t="n">
        <v>251.9</v>
      </c>
      <c r="K7" s="42" t="n">
        <v>239.3</v>
      </c>
      <c r="L7" s="43" t="n">
        <v>19.0</v>
      </c>
      <c r="M7" s="44" t="n">
        <v>110.8</v>
      </c>
      <c r="N7" s="45" t="inlineStr">
        <is>
          <t>7 Temmuz 08.00-10 Temmuz 07.59</t>
        </is>
      </c>
      <c r="O7" s="46" t="n">
        <v>2.7</v>
      </c>
      <c r="P7" s="47" t="inlineStr">
        <is>
          <t>10 Temmuz 08.00-14 Temmuz 07.59</t>
        </is>
      </c>
      <c r="Q7" s="48" t="n">
        <v>2.9</v>
      </c>
      <c r="R7" s="49" t="n">
        <v>239.3</v>
      </c>
      <c r="S7" s="50"/>
      <c r="T7" s="51"/>
      <c r="U7" s="52"/>
      <c r="V7" s="53" t="n">
        <f>=IF(OR(S7="", T7="", ISBLANK(O7)), "-", IF(OR(ISNUMBER(SEARCH("3 Günlük", T7)), ISNUMBER(SEARCH("7 Günlük", T7))), IF(S7&lt;=M7, O7, "-"), "-"))</f>
        <v>0.0</v>
      </c>
      <c r="W7" s="54" t="n">
        <f>=IF(OR(S7="", T7=""), "-", IF(OR(ISNUMBER(SEARCH("4 Günlük", T7)), ISNUMBER(SEARCH("7 Günlük", T7))), IF(S7&lt;=M7, Q7, "-"), "-"))</f>
        <v>0.0</v>
      </c>
      <c r="X7" s="55" t="str">
        <f>=IF(ISBLANK(S7), "", "Hayır")</f>
      </c>
      <c r="Y7" s="56" t="inlineStr">
        <is>
          <t>f342732d-532c-4e1a-9291-1629817e7404</t>
        </is>
      </c>
      <c r="Z7" s="57" t="inlineStr">
        <is>
          <t>3 Günlük Fiyat (7 Temmuz 08.00-10 Temmuz 07.59)</t>
        </is>
      </c>
      <c r="AA7" s="58" t="inlineStr">
        <is>
          <t>4 Günlük Fiyat (10 Temmuz 08.00-14 Temmuz 07.59)</t>
        </is>
      </c>
      <c r="AB7" s="59" t="inlineStr">
        <is>
          <t>7 Günlük Fiyat</t>
        </is>
      </c>
      <c r="AC7" s="60"/>
      <c r="AD7" s="61"/>
      <c r="AE7" s="62"/>
    </row>
    <row r="8">
      <c r="A8" s="32" t="inlineStr">
        <is>
          <t>Büyük Boy Türk Bayrağı 300×450 (3m x 4.5m) – Raşel Kumaş, Tok Duruş, Çift Dikiş</t>
        </is>
      </c>
      <c r="B8" s="33" t="inlineStr">
        <is>
          <t>967353878</t>
        </is>
      </c>
      <c r="C8" s="34" t="inlineStr">
        <is>
          <t>2903004500010</t>
        </is>
      </c>
      <c r="D8" s="35" t="inlineStr">
        <is>
          <t>TBR-RAS-300x450</t>
        </is>
      </c>
      <c r="E8" s="36"/>
      <c r="F8" s="37" t="inlineStr">
        <is>
          <t>TBR-RAS-300x450</t>
        </is>
      </c>
      <c r="G8" s="38" t="inlineStr">
        <is>
          <t>Bayrak</t>
        </is>
      </c>
      <c r="H8" s="39" t="inlineStr">
        <is>
          <t>AKYILDIZ store</t>
        </is>
      </c>
      <c r="I8" s="40" t="n">
        <v>41.0</v>
      </c>
      <c r="J8" s="41" t="n">
        <v>1626.0</v>
      </c>
      <c r="K8" s="42" t="n">
        <v>1544.7</v>
      </c>
      <c r="L8" s="43" t="n">
        <v>19.0</v>
      </c>
      <c r="M8" s="44" t="n">
        <v>1209.67</v>
      </c>
      <c r="N8" s="45" t="inlineStr">
        <is>
          <t>7 Temmuz 08.00-10 Temmuz 07.59</t>
        </is>
      </c>
      <c r="O8" s="46" t="n">
        <v>8.6</v>
      </c>
      <c r="P8" s="47" t="inlineStr">
        <is>
          <t>10 Temmuz 08.00-14 Temmuz 07.59</t>
        </is>
      </c>
      <c r="Q8" s="48" t="n">
        <v>12.3</v>
      </c>
      <c r="R8" s="49" t="n">
        <v>1544.7</v>
      </c>
      <c r="S8" s="50"/>
      <c r="T8" s="51"/>
      <c r="U8" s="52"/>
      <c r="V8" s="53" t="n">
        <f>=IF(OR(S8="", T8="", ISBLANK(O8)), "-", IF(OR(ISNUMBER(SEARCH("3 Günlük", T8)), ISNUMBER(SEARCH("7 Günlük", T8))), IF(S8&lt;=M8, O8, "-"), "-"))</f>
        <v>0.0</v>
      </c>
      <c r="W8" s="54" t="n">
        <f>=IF(OR(S8="", T8=""), "-", IF(OR(ISNUMBER(SEARCH("4 Günlük", T8)), ISNUMBER(SEARCH("7 Günlük", T8))), IF(S8&lt;=M8, Q8, "-"), "-"))</f>
        <v>0.0</v>
      </c>
      <c r="X8" s="55" t="str">
        <f>=IF(ISBLANK(S8), "", "Hayır")</f>
      </c>
      <c r="Y8" s="56" t="inlineStr">
        <is>
          <t>f342732d-532c-4e1a-9291-1629817e7404</t>
        </is>
      </c>
      <c r="Z8" s="57" t="inlineStr">
        <is>
          <t>3 Günlük Fiyat (7 Temmuz 08.00-10 Temmuz 07.59)</t>
        </is>
      </c>
      <c r="AA8" s="58" t="inlineStr">
        <is>
          <t>4 Günlük Fiyat (10 Temmuz 08.00-14 Temmuz 07.59)</t>
        </is>
      </c>
      <c r="AB8" s="59" t="inlineStr">
        <is>
          <t>7 Günlük Fiyat</t>
        </is>
      </c>
      <c r="AC8" s="60"/>
      <c r="AD8" s="61"/>
      <c r="AE8" s="62"/>
    </row>
    <row r="9">
      <c r="A9" s="32" t="inlineStr">
        <is>
          <t>70x105 Cm Kumaş Türk Bayrağı - Bayrak Kumaşı</t>
        </is>
      </c>
      <c r="B9" s="33" t="inlineStr">
        <is>
          <t>751634925</t>
        </is>
      </c>
      <c r="C9" s="34" t="inlineStr">
        <is>
          <t>TB70X105A</t>
        </is>
      </c>
      <c r="D9" s="35"/>
      <c r="E9" s="36"/>
      <c r="F9" s="37" t="inlineStr">
        <is>
          <t>TB70X105A</t>
        </is>
      </c>
      <c r="G9" s="38" t="inlineStr">
        <is>
          <t>Bayrak</t>
        </is>
      </c>
      <c r="H9" s="39" t="inlineStr">
        <is>
          <t>Alpaka</t>
        </is>
      </c>
      <c r="I9" s="40" t="n">
        <v>943.0</v>
      </c>
      <c r="J9" s="41" t="n">
        <v>250.0</v>
      </c>
      <c r="K9" s="42" t="n">
        <v>195.84</v>
      </c>
      <c r="L9" s="43" t="n">
        <v>13.6</v>
      </c>
      <c r="M9" s="44" t="n">
        <v>148.93</v>
      </c>
      <c r="N9" s="45" t="inlineStr">
        <is>
          <t>7 Temmuz 08.00-10 Temmuz 07.59</t>
        </is>
      </c>
      <c r="O9" s="46" t="n">
        <v>2.7</v>
      </c>
      <c r="P9" s="47" t="inlineStr">
        <is>
          <t>10 Temmuz 08.00-14 Temmuz 07.59</t>
        </is>
      </c>
      <c r="Q9" s="48" t="n">
        <v>4.9</v>
      </c>
      <c r="R9" s="49" t="n">
        <v>195.84</v>
      </c>
      <c r="S9" s="50"/>
      <c r="T9" s="51"/>
      <c r="U9" s="52"/>
      <c r="V9" s="53" t="n">
        <f>=IF(OR(S9="", T9="", ISBLANK(O9)), "-", IF(OR(ISNUMBER(SEARCH("3 Günlük", T9)), ISNUMBER(SEARCH("7 Günlük", T9))), IF(S9&lt;=M9, O9, "-"), "-"))</f>
        <v>0.0</v>
      </c>
      <c r="W9" s="54" t="n">
        <f>=IF(OR(S9="", T9=""), "-", IF(OR(ISNUMBER(SEARCH("4 Günlük", T9)), ISNUMBER(SEARCH("7 Günlük", T9))), IF(S9&lt;=M9, Q9, "-"), "-"))</f>
        <v>0.0</v>
      </c>
      <c r="X9" s="55" t="str">
        <f>=IF(ISBLANK(S9), "", "Hayır")</f>
      </c>
      <c r="Y9" s="56" t="inlineStr">
        <is>
          <t>f342732d-532c-4e1a-9291-1629817e7404</t>
        </is>
      </c>
      <c r="Z9" s="57" t="inlineStr">
        <is>
          <t>3 Günlük Fiyat (7 Temmuz 08.00-10 Temmuz 07.59)</t>
        </is>
      </c>
      <c r="AA9" s="58" t="inlineStr">
        <is>
          <t>4 Günlük Fiyat (10 Temmuz 08.00-14 Temmuz 07.59)</t>
        </is>
      </c>
      <c r="AB9" s="59" t="inlineStr">
        <is>
          <t>7 Günlük Fiyat</t>
        </is>
      </c>
      <c r="AC9" s="60"/>
      <c r="AD9" s="61"/>
      <c r="AE9" s="62"/>
    </row>
    <row r="10">
      <c r="A10" s="32" t="inlineStr">
        <is>
          <t>200x300 Cm Kumaş Türk Bayrağı</t>
        </is>
      </c>
      <c r="B10" s="33" t="inlineStr">
        <is>
          <t>262059950</t>
        </is>
      </c>
      <c r="C10" s="34" t="inlineStr">
        <is>
          <t>TB200X300A</t>
        </is>
      </c>
      <c r="D10" s="35" t="inlineStr">
        <is>
          <t/>
        </is>
      </c>
      <c r="E10" s="36"/>
      <c r="F10" s="37" t="inlineStr">
        <is>
          <t>TB200X300A</t>
        </is>
      </c>
      <c r="G10" s="38" t="inlineStr">
        <is>
          <t>Bayrak</t>
        </is>
      </c>
      <c r="H10" s="39" t="inlineStr">
        <is>
          <t>Alpaka</t>
        </is>
      </c>
      <c r="I10" s="40" t="n">
        <v>875.0</v>
      </c>
      <c r="J10" s="41" t="n">
        <v>852.0</v>
      </c>
      <c r="K10" s="42" t="n">
        <v>852.0</v>
      </c>
      <c r="L10" s="43" t="n">
        <v>19.0</v>
      </c>
      <c r="M10" s="44" t="n">
        <v>738.55</v>
      </c>
      <c r="N10" s="45" t="inlineStr">
        <is>
          <t>7 Temmuz 08.00-10 Temmuz 07.59</t>
        </is>
      </c>
      <c r="O10" s="46" t="n">
        <v>8.7</v>
      </c>
      <c r="P10" s="47" t="inlineStr">
        <is>
          <t>10 Temmuz 08.00-14 Temmuz 07.59</t>
        </is>
      </c>
      <c r="Q10" s="48" t="n">
        <v>11.3</v>
      </c>
      <c r="R10" s="49" t="n">
        <v>852.0</v>
      </c>
      <c r="S10" s="50"/>
      <c r="T10" s="51"/>
      <c r="U10" s="52"/>
      <c r="V10" s="53" t="n">
        <f>=IF(OR(S10="", T10="", ISBLANK(O10)), "-", IF(OR(ISNUMBER(SEARCH("3 Günlük", T10)), ISNUMBER(SEARCH("7 Günlük", T10))), IF(S10&lt;=M10, O10, "-"), "-"))</f>
        <v>0.0</v>
      </c>
      <c r="W10" s="54" t="n">
        <f>=IF(OR(S10="", T10=""), "-", IF(OR(ISNUMBER(SEARCH("4 Günlük", T10)), ISNUMBER(SEARCH("7 Günlük", T10))), IF(S10&lt;=M10, Q10, "-"), "-"))</f>
        <v>0.0</v>
      </c>
      <c r="X10" s="55" t="str">
        <f>=IF(ISBLANK(S10), "", "Hayır")</f>
      </c>
      <c r="Y10" s="56" t="inlineStr">
        <is>
          <t>f342732d-532c-4e1a-9291-1629817e7404</t>
        </is>
      </c>
      <c r="Z10" s="57" t="inlineStr">
        <is>
          <t>3 Günlük Fiyat (7 Temmuz 08.00-10 Temmuz 07.59)</t>
        </is>
      </c>
      <c r="AA10" s="58" t="inlineStr">
        <is>
          <t>4 Günlük Fiyat (10 Temmuz 08.00-14 Temmuz 07.59)</t>
        </is>
      </c>
      <c r="AB10" s="59" t="inlineStr">
        <is>
          <t>7 Günlük Fiyat</t>
        </is>
      </c>
      <c r="AC10" s="60"/>
      <c r="AD10" s="61"/>
      <c r="AE10" s="62"/>
    </row>
    <row r="11">
      <c r="A11" s="32" t="inlineStr">
        <is>
          <t>300x450 Cm Türk Bayrağı Alpaka</t>
        </is>
      </c>
      <c r="B11" s="33" t="inlineStr">
        <is>
          <t>262072376</t>
        </is>
      </c>
      <c r="C11" s="34" t="inlineStr">
        <is>
          <t>TB300X450R</t>
        </is>
      </c>
      <c r="D11" s="35" t="inlineStr">
        <is>
          <t/>
        </is>
      </c>
      <c r="E11" s="36"/>
      <c r="F11" s="37" t="inlineStr">
        <is>
          <t>TB300X450R</t>
        </is>
      </c>
      <c r="G11" s="38" t="inlineStr">
        <is>
          <t>Bayrak</t>
        </is>
      </c>
      <c r="H11" s="39" t="inlineStr">
        <is>
          <t>Raşel kumaş</t>
        </is>
      </c>
      <c r="I11" s="40" t="n">
        <v>40.0</v>
      </c>
      <c r="J11" s="41" t="n">
        <v>1400.0</v>
      </c>
      <c r="K11" s="42" t="n">
        <v>1400.0</v>
      </c>
      <c r="L11" s="43" t="n">
        <v>19.0</v>
      </c>
      <c r="M11" s="44" t="n">
        <v>1236.58</v>
      </c>
      <c r="N11" s="45" t="inlineStr">
        <is>
          <t>7 Temmuz 08.00-10 Temmuz 07.59</t>
        </is>
      </c>
      <c r="O11" s="46" t="n">
        <v>11.4</v>
      </c>
      <c r="P11" s="47" t="inlineStr">
        <is>
          <t>10 Temmuz 08.00-14 Temmuz 07.59</t>
        </is>
      </c>
      <c r="Q11" s="48" t="n">
        <v>14.3</v>
      </c>
      <c r="R11" s="49" t="n">
        <v>1400.0</v>
      </c>
      <c r="S11" s="50"/>
      <c r="T11" s="51"/>
      <c r="U11" s="52"/>
      <c r="V11" s="53" t="n">
        <f>=IF(OR(S11="", T11="", ISBLANK(O11)), "-", IF(OR(ISNUMBER(SEARCH("3 Günlük", T11)), ISNUMBER(SEARCH("7 Günlük", T11))), IF(S11&lt;=M11, O11, "-"), "-"))</f>
        <v>0.0</v>
      </c>
      <c r="W11" s="54" t="n">
        <f>=IF(OR(S11="", T11=""), "-", IF(OR(ISNUMBER(SEARCH("4 Günlük", T11)), ISNUMBER(SEARCH("7 Günlük", T11))), IF(S11&lt;=M11, Q11, "-"), "-"))</f>
        <v>0.0</v>
      </c>
      <c r="X11" s="55" t="str">
        <f>=IF(ISBLANK(S11), "", "Hayır")</f>
      </c>
      <c r="Y11" s="56" t="inlineStr">
        <is>
          <t>f342732d-532c-4e1a-9291-1629817e7404</t>
        </is>
      </c>
      <c r="Z11" s="57" t="inlineStr">
        <is>
          <t>3 Günlük Fiyat (7 Temmuz 08.00-10 Temmuz 07.59)</t>
        </is>
      </c>
      <c r="AA11" s="58" t="inlineStr">
        <is>
          <t>4 Günlük Fiyat (10 Temmuz 08.00-14 Temmuz 07.59)</t>
        </is>
      </c>
      <c r="AB11" s="59" t="inlineStr">
        <is>
          <t>7 Günlük Fiyat</t>
        </is>
      </c>
      <c r="AC11" s="60"/>
      <c r="AD11" s="61"/>
      <c r="AE11" s="62"/>
    </row>
    <row r="12">
      <c r="A12" s="32" t="inlineStr">
        <is>
          <t>Türk Bayrağı 50x75 cm – 1. Sınıf Alpaka Kumaştan Üretilmiştir</t>
        </is>
      </c>
      <c r="B12" s="33" t="inlineStr">
        <is>
          <t>1159298617</t>
        </is>
      </c>
      <c r="C12" s="34" t="inlineStr">
        <is>
          <t>2902780462038</t>
        </is>
      </c>
      <c r="D12" s="35"/>
      <c r="E12" s="36"/>
      <c r="F12" s="37" t="inlineStr">
        <is>
          <t>AKY-TB-50X75-AK</t>
        </is>
      </c>
      <c r="G12" s="38" t="inlineStr">
        <is>
          <t>Bayrak</t>
        </is>
      </c>
      <c r="H12" s="39" t="inlineStr">
        <is>
          <t>AKYILDIZ store</t>
        </is>
      </c>
      <c r="I12" s="40" t="n">
        <v>965.0</v>
      </c>
      <c r="J12" s="41" t="n">
        <v>199.5</v>
      </c>
      <c r="K12" s="42" t="n">
        <v>189.52</v>
      </c>
      <c r="L12" s="43" t="n">
        <v>19.0</v>
      </c>
      <c r="M12" s="44" t="n">
        <v>135.88</v>
      </c>
      <c r="N12" s="45" t="inlineStr">
        <is>
          <t>7 Temmuz 08.00-10 Temmuz 07.59</t>
        </is>
      </c>
      <c r="O12" s="46" t="n">
        <v>2.7</v>
      </c>
      <c r="P12" s="47" t="inlineStr">
        <is>
          <t>10 Temmuz 08.00-14 Temmuz 07.59</t>
        </is>
      </c>
      <c r="Q12" s="48" t="n">
        <v>6.0</v>
      </c>
      <c r="R12" s="49" t="n">
        <v>189.52</v>
      </c>
      <c r="S12" s="50"/>
      <c r="T12" s="51"/>
      <c r="U12" s="52"/>
      <c r="V12" s="53" t="n">
        <f>=IF(OR(S12="", T12="", ISBLANK(O12)), "-", IF(OR(ISNUMBER(SEARCH("3 Günlük", T12)), ISNUMBER(SEARCH("7 Günlük", T12))), IF(S12&lt;=M12, O12, "-"), "-"))</f>
        <v>0.0</v>
      </c>
      <c r="W12" s="54" t="n">
        <f>=IF(OR(S12="", T12=""), "-", IF(OR(ISNUMBER(SEARCH("4 Günlük", T12)), ISNUMBER(SEARCH("7 Günlük", T12))), IF(S12&lt;=M12, Q12, "-"), "-"))</f>
        <v>0.0</v>
      </c>
      <c r="X12" s="55" t="str">
        <f>=IF(ISBLANK(S12), "", "Hayır")</f>
      </c>
      <c r="Y12" s="56" t="inlineStr">
        <is>
          <t>f342732d-532c-4e1a-9291-1629817e7404</t>
        </is>
      </c>
      <c r="Z12" s="57" t="inlineStr">
        <is>
          <t>3 Günlük Fiyat (7 Temmuz 08.00-10 Temmuz 07.59)</t>
        </is>
      </c>
      <c r="AA12" s="58" t="inlineStr">
        <is>
          <t>4 Günlük Fiyat (10 Temmuz 08.00-14 Temmuz 07.59)</t>
        </is>
      </c>
      <c r="AB12" s="59" t="inlineStr">
        <is>
          <t>7 Günlük Fiyat</t>
        </is>
      </c>
      <c r="AC12" s="60"/>
      <c r="AD12" s="61"/>
      <c r="AE12" s="62"/>
    </row>
    <row r="13">
      <c r="A13" s="32" t="inlineStr">
        <is>
          <t>Türk Bayrağı 150x225 cm – Raşel Kumaş, Özenli Dikiş</t>
        </is>
      </c>
      <c r="B13" s="33" t="inlineStr">
        <is>
          <t>987254741</t>
        </is>
      </c>
      <c r="C13" s="34" t="inlineStr">
        <is>
          <t>8697651522300</t>
        </is>
      </c>
      <c r="D13" s="35" t="inlineStr">
        <is>
          <t>TB-RSL-150x225</t>
        </is>
      </c>
      <c r="E13" s="36"/>
      <c r="F13" s="37" t="inlineStr">
        <is>
          <t>TBR-RAS-150x225</t>
        </is>
      </c>
      <c r="G13" s="38" t="inlineStr">
        <is>
          <t>Bayrak</t>
        </is>
      </c>
      <c r="H13" s="39" t="inlineStr">
        <is>
          <t>AKYILDIZ store</t>
        </is>
      </c>
      <c r="I13" s="40" t="n">
        <v>83.0</v>
      </c>
      <c r="J13" s="41" t="n">
        <v>625.0</v>
      </c>
      <c r="K13" s="42" t="n">
        <v>593.75</v>
      </c>
      <c r="L13" s="43" t="n">
        <v>19.0</v>
      </c>
      <c r="M13" s="44" t="n">
        <v>518.98</v>
      </c>
      <c r="N13" s="45" t="inlineStr">
        <is>
          <t>7 Temmuz 08.00-10 Temmuz 07.59</t>
        </is>
      </c>
      <c r="O13" s="46" t="n">
        <v>10.6</v>
      </c>
      <c r="P13" s="47" t="inlineStr">
        <is>
          <t>10 Temmuz 08.00-14 Temmuz 07.59</t>
        </is>
      </c>
      <c r="Q13" s="48" t="n">
        <v>13.7</v>
      </c>
      <c r="R13" s="49" t="n">
        <v>593.75</v>
      </c>
      <c r="S13" s="50"/>
      <c r="T13" s="51"/>
      <c r="U13" s="52"/>
      <c r="V13" s="53" t="n">
        <f>=IF(OR(S13="", T13="", ISBLANK(O13)), "-", IF(OR(ISNUMBER(SEARCH("3 Günlük", T13)), ISNUMBER(SEARCH("7 Günlük", T13))), IF(S13&lt;=M13, O13, "-"), "-"))</f>
        <v>0.0</v>
      </c>
      <c r="W13" s="54" t="n">
        <f>=IF(OR(S13="", T13=""), "-", IF(OR(ISNUMBER(SEARCH("4 Günlük", T13)), ISNUMBER(SEARCH("7 Günlük", T13))), IF(S13&lt;=M13, Q13, "-"), "-"))</f>
        <v>0.0</v>
      </c>
      <c r="X13" s="55" t="str">
        <f>=IF(ISBLANK(S13), "", "Hayır")</f>
      </c>
      <c r="Y13" s="56" t="inlineStr">
        <is>
          <t>f342732d-532c-4e1a-9291-1629817e7404</t>
        </is>
      </c>
      <c r="Z13" s="57" t="inlineStr">
        <is>
          <t>3 Günlük Fiyat (7 Temmuz 08.00-10 Temmuz 07.59)</t>
        </is>
      </c>
      <c r="AA13" s="58" t="inlineStr">
        <is>
          <t>4 Günlük Fiyat (10 Temmuz 08.00-14 Temmuz 07.59)</t>
        </is>
      </c>
      <c r="AB13" s="59" t="inlineStr">
        <is>
          <t>7 Günlük Fiyat</t>
        </is>
      </c>
      <c r="AC13" s="60"/>
      <c r="AD13" s="61"/>
      <c r="AE13" s="62"/>
    </row>
    <row r="14">
      <c r="A14" s="32" t="inlineStr">
        <is>
          <t>120x180 Cm Kumaş Türk Bayrağı</t>
        </is>
      </c>
      <c r="B14" s="33" t="inlineStr">
        <is>
          <t>262054699</t>
        </is>
      </c>
      <c r="C14" s="34" t="inlineStr">
        <is>
          <t>TB120X180A</t>
        </is>
      </c>
      <c r="D14" s="35" t="inlineStr">
        <is>
          <t/>
        </is>
      </c>
      <c r="E14" s="36"/>
      <c r="F14" s="37" t="inlineStr">
        <is>
          <t>TB120X180A</t>
        </is>
      </c>
      <c r="G14" s="38" t="inlineStr">
        <is>
          <t>Bayrak</t>
        </is>
      </c>
      <c r="H14" s="39" t="inlineStr">
        <is>
          <t>Alpaka</t>
        </is>
      </c>
      <c r="I14" s="40" t="n">
        <v>85.0</v>
      </c>
      <c r="J14" s="41" t="n">
        <v>440.0</v>
      </c>
      <c r="K14" s="42" t="n">
        <v>418.41</v>
      </c>
      <c r="L14" s="43" t="n">
        <v>12.5</v>
      </c>
      <c r="M14" s="44" t="n">
        <v>392.09</v>
      </c>
      <c r="N14" s="45" t="inlineStr">
        <is>
          <t>7 Temmuz 08.00-10 Temmuz 07.59</t>
        </is>
      </c>
      <c r="O14" s="46" t="n">
        <v>9.2</v>
      </c>
      <c r="P14" s="47" t="inlineStr">
        <is>
          <t>10 Temmuz 08.00-14 Temmuz 07.59</t>
        </is>
      </c>
      <c r="Q14" s="48" t="n">
        <v>11.6</v>
      </c>
      <c r="R14" s="49" t="n">
        <v>418.41</v>
      </c>
      <c r="S14" s="50"/>
      <c r="T14" s="51"/>
      <c r="U14" s="52"/>
      <c r="V14" s="53" t="n">
        <f>=IF(OR(S14="", T14="", ISBLANK(O14)), "-", IF(OR(ISNUMBER(SEARCH("3 Günlük", T14)), ISNUMBER(SEARCH("7 Günlük", T14))), IF(S14&lt;=M14, O14, "-"), "-"))</f>
        <v>0.0</v>
      </c>
      <c r="W14" s="54" t="n">
        <f>=IF(OR(S14="", T14=""), "-", IF(OR(ISNUMBER(SEARCH("4 Günlük", T14)), ISNUMBER(SEARCH("7 Günlük", T14))), IF(S14&lt;=M14, Q14, "-"), "-"))</f>
        <v>0.0</v>
      </c>
      <c r="X14" s="55" t="str">
        <f>=IF(ISBLANK(S14), "", "Hayır")</f>
      </c>
      <c r="Y14" s="56" t="inlineStr">
        <is>
          <t>f342732d-532c-4e1a-9291-1629817e7404</t>
        </is>
      </c>
      <c r="Z14" s="57" t="inlineStr">
        <is>
          <t>3 Günlük Fiyat (7 Temmuz 08.00-10 Temmuz 07.59)</t>
        </is>
      </c>
      <c r="AA14" s="58" t="inlineStr">
        <is>
          <t>4 Günlük Fiyat (10 Temmuz 08.00-14 Temmuz 07.59)</t>
        </is>
      </c>
      <c r="AB14" s="59" t="inlineStr">
        <is>
          <t>7 Günlük Fiyat</t>
        </is>
      </c>
      <c r="AC14" s="60"/>
      <c r="AD14" s="61"/>
      <c r="AE14" s="62"/>
    </row>
    <row r="15">
      <c r="A15" s="32" t="inlineStr">
        <is>
          <t>50x75 Cm Kumaş Türk Bayrağı</t>
        </is>
      </c>
      <c r="B15" s="33" t="inlineStr">
        <is>
          <t>751635922</t>
        </is>
      </c>
      <c r="C15" s="34" t="inlineStr">
        <is>
          <t>TB50X75A</t>
        </is>
      </c>
      <c r="D15" s="35" t="inlineStr">
        <is>
          <t/>
        </is>
      </c>
      <c r="E15" s="36"/>
      <c r="F15" s="37" t="inlineStr">
        <is>
          <t>TB50X75A</t>
        </is>
      </c>
      <c r="G15" s="38" t="inlineStr">
        <is>
          <t>Bayrak</t>
        </is>
      </c>
      <c r="H15" s="39" t="inlineStr">
        <is>
          <t>Alpaka</t>
        </is>
      </c>
      <c r="I15" s="40" t="n">
        <v>8.0</v>
      </c>
      <c r="J15" s="41" t="n">
        <v>125.0</v>
      </c>
      <c r="K15" s="42" t="n">
        <v>125.0</v>
      </c>
      <c r="L15" s="43" t="n">
        <v>19.0</v>
      </c>
      <c r="M15" s="44" t="n">
        <v>89.74</v>
      </c>
      <c r="N15" s="45" t="inlineStr">
        <is>
          <t>7 Temmuz 08.00-10 Temmuz 07.59</t>
        </is>
      </c>
      <c r="O15" s="46" t="n">
        <v>2.7</v>
      </c>
      <c r="P15" s="47" t="inlineStr">
        <is>
          <t>10 Temmuz 08.00-14 Temmuz 07.59</t>
        </is>
      </c>
      <c r="Q15" s="48" t="n">
        <v>5.1</v>
      </c>
      <c r="R15" s="49" t="n">
        <v>125.0</v>
      </c>
      <c r="S15" s="50"/>
      <c r="T15" s="51"/>
      <c r="U15" s="52"/>
      <c r="V15" s="53" t="n">
        <f>=IF(OR(S15="", T15="", ISBLANK(O15)), "-", IF(OR(ISNUMBER(SEARCH("3 Günlük", T15)), ISNUMBER(SEARCH("7 Günlük", T15))), IF(S15&lt;=M15, O15, "-"), "-"))</f>
        <v>0.0</v>
      </c>
      <c r="W15" s="54" t="n">
        <f>=IF(OR(S15="", T15=""), "-", IF(OR(ISNUMBER(SEARCH("4 Günlük", T15)), ISNUMBER(SEARCH("7 Günlük", T15))), IF(S15&lt;=M15, Q15, "-"), "-"))</f>
        <v>0.0</v>
      </c>
      <c r="X15" s="55" t="str">
        <f>=IF(ISBLANK(S15), "", "Hayır")</f>
      </c>
      <c r="Y15" s="56" t="inlineStr">
        <is>
          <t>f342732d-532c-4e1a-9291-1629817e7404</t>
        </is>
      </c>
      <c r="Z15" s="57" t="inlineStr">
        <is>
          <t>3 Günlük Fiyat (7 Temmuz 08.00-10 Temmuz 07.59)</t>
        </is>
      </c>
      <c r="AA15" s="58" t="inlineStr">
        <is>
          <t>4 Günlük Fiyat (10 Temmuz 08.00-14 Temmuz 07.59)</t>
        </is>
      </c>
      <c r="AB15" s="59" t="inlineStr">
        <is>
          <t>7 Günlük Fiyat</t>
        </is>
      </c>
      <c r="AC15" s="60"/>
      <c r="AD15" s="61"/>
      <c r="AE15" s="62"/>
    </row>
    <row r="16">
      <c r="A16" s="32" t="inlineStr">
        <is>
          <t>Türk Bayrak 50x75 Cm Alpaka Türk Bayrağı 50x70 Alpaka 1. Kalite</t>
        </is>
      </c>
      <c r="B16" s="33" t="inlineStr">
        <is>
          <t>844531267</t>
        </is>
      </c>
      <c r="C16" s="34" t="inlineStr">
        <is>
          <t>026233180101</t>
        </is>
      </c>
      <c r="D16" s="35"/>
      <c r="E16" s="36"/>
      <c r="F16" s="37" t="inlineStr">
        <is>
          <t>50X75 CM ALPAKA TÜRK BAYRAĞI</t>
        </is>
      </c>
      <c r="G16" s="38" t="inlineStr">
        <is>
          <t>Bayrak</t>
        </is>
      </c>
      <c r="H16" s="39" t="inlineStr">
        <is>
          <t>Lanyard</t>
        </is>
      </c>
      <c r="I16" s="40" t="n">
        <v>87.0</v>
      </c>
      <c r="J16" s="41" t="n">
        <v>170.0</v>
      </c>
      <c r="K16" s="42" t="n">
        <v>170.0</v>
      </c>
      <c r="L16" s="43" t="n">
        <v>19.0</v>
      </c>
      <c r="M16" s="44" t="n">
        <v>89.94</v>
      </c>
      <c r="N16" s="45" t="inlineStr">
        <is>
          <t>7 Temmuz 08.00-10 Temmuz 07.59</t>
        </is>
      </c>
      <c r="O16" s="46" t="n">
        <v>2.7</v>
      </c>
      <c r="P16" s="47" t="inlineStr">
        <is>
          <t>10 Temmuz 08.00-14 Temmuz 07.59</t>
        </is>
      </c>
      <c r="Q16" s="48" t="n">
        <v>5.0</v>
      </c>
      <c r="R16" s="49" t="n">
        <v>170.0</v>
      </c>
      <c r="S16" s="50"/>
      <c r="T16" s="51"/>
      <c r="U16" s="52"/>
      <c r="V16" s="53" t="n">
        <f>=IF(OR(S16="", T16="", ISBLANK(O16)), "-", IF(OR(ISNUMBER(SEARCH("3 Günlük", T16)), ISNUMBER(SEARCH("7 Günlük", T16))), IF(S16&lt;=M16, O16, "-"), "-"))</f>
        <v>0.0</v>
      </c>
      <c r="W16" s="54" t="n">
        <f>=IF(OR(S16="", T16=""), "-", IF(OR(ISNUMBER(SEARCH("4 Günlük", T16)), ISNUMBER(SEARCH("7 Günlük", T16))), IF(S16&lt;=M16, Q16, "-"), "-"))</f>
        <v>0.0</v>
      </c>
      <c r="X16" s="55" t="str">
        <f>=IF(ISBLANK(S16), "", "Hayır")</f>
      </c>
      <c r="Y16" s="56" t="inlineStr">
        <is>
          <t>f342732d-532c-4e1a-9291-1629817e7404</t>
        </is>
      </c>
      <c r="Z16" s="57" t="inlineStr">
        <is>
          <t>3 Günlük Fiyat (7 Temmuz 08.00-10 Temmuz 07.59)</t>
        </is>
      </c>
      <c r="AA16" s="58" t="inlineStr">
        <is>
          <t>4 Günlük Fiyat (10 Temmuz 08.00-14 Temmuz 07.59)</t>
        </is>
      </c>
      <c r="AB16" s="59" t="inlineStr">
        <is>
          <t>7 Günlük Fiyat</t>
        </is>
      </c>
      <c r="AC16" s="60"/>
      <c r="AD16" s="61"/>
      <c r="AE16" s="62"/>
    </row>
    <row r="17">
      <c r="A17" s="32" t="inlineStr">
        <is>
          <t>50x75cm Kalpaklı Atatürk Raşel Kumaş Sopalı Türk Bayrağı – Dayanıklı ve Kaliteli Dijital Baskı</t>
        </is>
      </c>
      <c r="B17" s="33" t="inlineStr">
        <is>
          <t>1142435838</t>
        </is>
      </c>
      <c r="C17" s="34" t="inlineStr">
        <is>
          <t>86962741224212</t>
        </is>
      </c>
      <c r="D17" s="35" t="inlineStr">
        <is>
          <t>ATB-50x75-SPL</t>
        </is>
      </c>
      <c r="E17" s="36"/>
      <c r="F17" s="37" t="inlineStr">
        <is>
          <t>ATB-50x75-SPL</t>
        </is>
      </c>
      <c r="G17" s="38" t="inlineStr">
        <is>
          <t>Bayrak</t>
        </is>
      </c>
      <c r="H17" s="39" t="inlineStr">
        <is>
          <t>AKYILDIZ store</t>
        </is>
      </c>
      <c r="I17" s="40" t="n">
        <v>73.0</v>
      </c>
      <c r="J17" s="41" t="n">
        <v>189.0</v>
      </c>
      <c r="K17" s="42" t="n">
        <v>179.55</v>
      </c>
      <c r="L17" s="43" t="n">
        <v>19.0</v>
      </c>
      <c r="M17" s="44" t="n">
        <v>107.83</v>
      </c>
      <c r="N17" s="45" t="inlineStr">
        <is>
          <t>7 Temmuz 08.00-10 Temmuz 07.59</t>
        </is>
      </c>
      <c r="O17" s="46" t="n">
        <v>2.7</v>
      </c>
      <c r="P17" s="47" t="inlineStr">
        <is>
          <t>10 Temmuz 08.00-14 Temmuz 07.59</t>
        </is>
      </c>
      <c r="Q17" s="48" t="n">
        <v>2.7</v>
      </c>
      <c r="R17" s="49" t="n">
        <v>179.55</v>
      </c>
      <c r="S17" s="50"/>
      <c r="T17" s="51"/>
      <c r="U17" s="52"/>
      <c r="V17" s="53" t="n">
        <f>=IF(OR(S17="", T17="", ISBLANK(O17)), "-", IF(OR(ISNUMBER(SEARCH("3 Günlük", T17)), ISNUMBER(SEARCH("7 Günlük", T17))), IF(S17&lt;=M17, O17, "-"), "-"))</f>
        <v>0.0</v>
      </c>
      <c r="W17" s="54" t="n">
        <f>=IF(OR(S17="", T17=""), "-", IF(OR(ISNUMBER(SEARCH("4 Günlük", T17)), ISNUMBER(SEARCH("7 Günlük", T17))), IF(S17&lt;=M17, Q17, "-"), "-"))</f>
        <v>0.0</v>
      </c>
      <c r="X17" s="55" t="str">
        <f>=IF(ISBLANK(S17), "", "Hayır")</f>
      </c>
      <c r="Y17" s="56" t="inlineStr">
        <is>
          <t>f342732d-532c-4e1a-9291-1629817e7404</t>
        </is>
      </c>
      <c r="Z17" s="57" t="inlineStr">
        <is>
          <t>7 Günlük Fiyat</t>
        </is>
      </c>
      <c r="AA17" s="58"/>
      <c r="AB17" s="59"/>
      <c r="AC17" s="60"/>
      <c r="AD17" s="61"/>
      <c r="AE17" s="62"/>
    </row>
    <row r="18">
      <c r="A18" s="32" t="inlineStr">
        <is>
          <t>200X300 CM ATATÜRK BASKILI TÜRK BAYRAĞI ATATÜRK POSTERİ RAŞEL KUMAŞ</t>
        </is>
      </c>
      <c r="B18" s="33" t="inlineStr">
        <is>
          <t>768442545</t>
        </is>
      </c>
      <c r="C18" s="34" t="inlineStr">
        <is>
          <t>ATA200X300R</t>
        </is>
      </c>
      <c r="D18" s="35" t="inlineStr">
        <is>
          <t/>
        </is>
      </c>
      <c r="E18" s="36"/>
      <c r="F18" s="37" t="inlineStr">
        <is>
          <t>ATA200X300R</t>
        </is>
      </c>
      <c r="G18" s="38" t="inlineStr">
        <is>
          <t>Bayrak</t>
        </is>
      </c>
      <c r="H18" s="39" t="inlineStr">
        <is>
          <t>Raşel kumaş</t>
        </is>
      </c>
      <c r="I18" s="40" t="n">
        <v>8.0</v>
      </c>
      <c r="J18" s="41" t="n">
        <v>925.0</v>
      </c>
      <c r="K18" s="42" t="n">
        <v>847.03</v>
      </c>
      <c r="L18" s="43" t="n">
        <v>14.6</v>
      </c>
      <c r="M18" s="44" t="n">
        <v>793.59</v>
      </c>
      <c r="N18" s="45" t="inlineStr">
        <is>
          <t>7 Temmuz 08.00-10 Temmuz 07.59</t>
        </is>
      </c>
      <c r="O18" s="46" t="n">
        <v>10.4</v>
      </c>
      <c r="P18" s="47" t="inlineStr">
        <is>
          <t>10 Temmuz 08.00-14 Temmuz 07.59</t>
        </is>
      </c>
      <c r="Q18" s="48" t="n">
        <v>13.6</v>
      </c>
      <c r="R18" s="49" t="n">
        <v>847.03</v>
      </c>
      <c r="S18" s="50"/>
      <c r="T18" s="51"/>
      <c r="U18" s="52"/>
      <c r="V18" s="53" t="n">
        <f>=IF(OR(S18="", T18="", ISBLANK(O18)), "-", IF(OR(ISNUMBER(SEARCH("3 Günlük", T18)), ISNUMBER(SEARCH("7 Günlük", T18))), IF(S18&lt;=M18, O18, "-"), "-"))</f>
        <v>0.0</v>
      </c>
      <c r="W18" s="54" t="n">
        <f>=IF(OR(S18="", T18=""), "-", IF(OR(ISNUMBER(SEARCH("4 Günlük", T18)), ISNUMBER(SEARCH("7 Günlük", T18))), IF(S18&lt;=M18, Q18, "-"), "-"))</f>
        <v>0.0</v>
      </c>
      <c r="X18" s="55" t="str">
        <f>=IF(ISBLANK(S18), "", "Hayır")</f>
      </c>
      <c r="Y18" s="56" t="inlineStr">
        <is>
          <t>f342732d-532c-4e1a-9291-1629817e7404</t>
        </is>
      </c>
      <c r="Z18" s="57" t="inlineStr">
        <is>
          <t>3 Günlük Fiyat (7 Temmuz 08.00-10 Temmuz 07.59)</t>
        </is>
      </c>
      <c r="AA18" s="58" t="inlineStr">
        <is>
          <t>4 Günlük Fiyat (10 Temmuz 08.00-14 Temmuz 07.59)</t>
        </is>
      </c>
      <c r="AB18" s="59" t="inlineStr">
        <is>
          <t>7 Günlük Fiyat</t>
        </is>
      </c>
      <c r="AC18" s="60"/>
      <c r="AD18" s="61"/>
      <c r="AE18" s="62"/>
    </row>
    <row r="19">
      <c r="A19" s="32" t="inlineStr">
        <is>
          <t>Türk Bayrağı 400x600 cm (4m x 6m) - Raşel Kumaş Dış Mekan Direk ve Balkon Uyumlu</t>
        </is>
      </c>
      <c r="B19" s="33" t="inlineStr">
        <is>
          <t>984223227</t>
        </is>
      </c>
      <c r="C19" s="34" t="inlineStr">
        <is>
          <t>86976545211075</t>
        </is>
      </c>
      <c r="D19" s="35" t="inlineStr">
        <is>
          <t>TBR-RAS-400x600</t>
        </is>
      </c>
      <c r="E19" s="36"/>
      <c r="F19" s="37" t="inlineStr">
        <is>
          <t>TBR-RAS-400x600</t>
        </is>
      </c>
      <c r="G19" s="38" t="inlineStr">
        <is>
          <t>Bayrak</t>
        </is>
      </c>
      <c r="H19" s="39" t="inlineStr">
        <is>
          <t>AKYILDIZ store</t>
        </is>
      </c>
      <c r="I19" s="40" t="n">
        <v>28.0</v>
      </c>
      <c r="J19" s="41" t="n">
        <v>2730.0</v>
      </c>
      <c r="K19" s="42" t="n">
        <v>2593.5</v>
      </c>
      <c r="L19" s="43" t="n">
        <v>19.0</v>
      </c>
      <c r="M19" s="44" t="n">
        <v>2115.99</v>
      </c>
      <c r="N19" s="45" t="inlineStr">
        <is>
          <t>7 Temmuz 08.00-10 Temmuz 07.59</t>
        </is>
      </c>
      <c r="O19" s="46" t="n">
        <v>8.7</v>
      </c>
      <c r="P19" s="47" t="inlineStr">
        <is>
          <t>10 Temmuz 08.00-14 Temmuz 07.59</t>
        </is>
      </c>
      <c r="Q19" s="48" t="n">
        <v>12.4</v>
      </c>
      <c r="R19" s="49" t="n">
        <v>2593.5</v>
      </c>
      <c r="S19" s="50"/>
      <c r="T19" s="51"/>
      <c r="U19" s="52"/>
      <c r="V19" s="53" t="n">
        <f>=IF(OR(S19="", T19="", ISBLANK(O19)), "-", IF(OR(ISNUMBER(SEARCH("3 Günlük", T19)), ISNUMBER(SEARCH("7 Günlük", T19))), IF(S19&lt;=M19, O19, "-"), "-"))</f>
        <v>0.0</v>
      </c>
      <c r="W19" s="54" t="n">
        <f>=IF(OR(S19="", T19=""), "-", IF(OR(ISNUMBER(SEARCH("4 Günlük", T19)), ISNUMBER(SEARCH("7 Günlük", T19))), IF(S19&lt;=M19, Q19, "-"), "-"))</f>
        <v>0.0</v>
      </c>
      <c r="X19" s="55" t="str">
        <f>=IF(ISBLANK(S19), "", "Hayır")</f>
      </c>
      <c r="Y19" s="56" t="inlineStr">
        <is>
          <t>f342732d-532c-4e1a-9291-1629817e7404</t>
        </is>
      </c>
      <c r="Z19" s="57" t="inlineStr">
        <is>
          <t>3 Günlük Fiyat (7 Temmuz 08.00-10 Temmuz 07.59)</t>
        </is>
      </c>
      <c r="AA19" s="58" t="inlineStr">
        <is>
          <t>4 Günlük Fiyat (10 Temmuz 08.00-14 Temmuz 07.59)</t>
        </is>
      </c>
      <c r="AB19" s="59" t="inlineStr">
        <is>
          <t>7 Günlük Fiyat</t>
        </is>
      </c>
      <c r="AC19" s="60"/>
      <c r="AD19" s="61"/>
      <c r="AE19" s="62"/>
    </row>
    <row r="20">
      <c r="A20" s="32" t="inlineStr">
        <is>
          <t>150x225 Cm Atatürk Baskılı (ÖLÇÜ OLARAK ODA DUVARINI BOYDAN KAPLAR) Atatürk Posteri</t>
        </is>
      </c>
      <c r="B20" s="33" t="inlineStr">
        <is>
          <t>760035694</t>
        </is>
      </c>
      <c r="C20" s="34" t="inlineStr">
        <is>
          <t>ATA150X225R</t>
        </is>
      </c>
      <c r="D20" s="35" t="inlineStr">
        <is>
          <t/>
        </is>
      </c>
      <c r="E20" s="36"/>
      <c r="F20" s="37" t="inlineStr">
        <is>
          <t>ATA150X225R</t>
        </is>
      </c>
      <c r="G20" s="38" t="inlineStr">
        <is>
          <t>Bayrak</t>
        </is>
      </c>
      <c r="H20" s="39" t="inlineStr">
        <is>
          <t>Raşel kumaş</t>
        </is>
      </c>
      <c r="I20" s="40" t="n">
        <v>2.0</v>
      </c>
      <c r="J20" s="41" t="n">
        <v>585.0</v>
      </c>
      <c r="K20" s="42" t="n">
        <v>585.0</v>
      </c>
      <c r="L20" s="43" t="n">
        <v>19.0</v>
      </c>
      <c r="M20" s="44" t="n">
        <v>354.89</v>
      </c>
      <c r="N20" s="45" t="inlineStr">
        <is>
          <t>7 Temmuz 08.00-10 Temmuz 07.59</t>
        </is>
      </c>
      <c r="O20" s="46" t="n">
        <v>2.7</v>
      </c>
      <c r="P20" s="47" t="inlineStr">
        <is>
          <t>10 Temmuz 08.00-14 Temmuz 07.59</t>
        </is>
      </c>
      <c r="Q20" s="48" t="n">
        <v>7.3</v>
      </c>
      <c r="R20" s="49" t="n">
        <v>585.0</v>
      </c>
      <c r="S20" s="50"/>
      <c r="T20" s="51"/>
      <c r="U20" s="52"/>
      <c r="V20" s="53" t="n">
        <f>=IF(OR(S20="", T20="", ISBLANK(O20)), "-", IF(OR(ISNUMBER(SEARCH("3 Günlük", T20)), ISNUMBER(SEARCH("7 Günlük", T20))), IF(S20&lt;=M20, O20, "-"), "-"))</f>
        <v>0.0</v>
      </c>
      <c r="W20" s="54" t="n">
        <f>=IF(OR(S20="", T20=""), "-", IF(OR(ISNUMBER(SEARCH("4 Günlük", T20)), ISNUMBER(SEARCH("7 Günlük", T20))), IF(S20&lt;=M20, Q20, "-"), "-"))</f>
        <v>0.0</v>
      </c>
      <c r="X20" s="55" t="str">
        <f>=IF(ISBLANK(S20), "", "Hayır")</f>
      </c>
      <c r="Y20" s="56" t="inlineStr">
        <is>
          <t>f342732d-532c-4e1a-9291-1629817e7404</t>
        </is>
      </c>
      <c r="Z20" s="57" t="inlineStr">
        <is>
          <t>3 Günlük Fiyat (7 Temmuz 08.00-10 Temmuz 07.59)</t>
        </is>
      </c>
      <c r="AA20" s="58" t="inlineStr">
        <is>
          <t>4 Günlük Fiyat (10 Temmuz 08.00-14 Temmuz 07.59)</t>
        </is>
      </c>
      <c r="AB20" s="59" t="inlineStr">
        <is>
          <t>7 Günlük Fiyat</t>
        </is>
      </c>
      <c r="AC20" s="60"/>
      <c r="AD20" s="61"/>
      <c r="AE20" s="62"/>
    </row>
    <row r="21">
      <c r="A21" s="32" t="inlineStr">
        <is>
          <t>Türk Bayrağı 100×150 cm – 1. Sınıf Alpaka Kumaştan Üretilmiştir</t>
        </is>
      </c>
      <c r="B21" s="33" t="inlineStr">
        <is>
          <t>1125060119</t>
        </is>
      </c>
      <c r="C21" s="34" t="inlineStr">
        <is>
          <t>2903335800010</t>
        </is>
      </c>
      <c r="D21" s="35" t="inlineStr">
        <is>
          <t>TRB100150-AK</t>
        </is>
      </c>
      <c r="E21" s="36"/>
      <c r="F21" s="37" t="inlineStr">
        <is>
          <t>TRB100150-AK</t>
        </is>
      </c>
      <c r="G21" s="38" t="inlineStr">
        <is>
          <t>Bayrak</t>
        </is>
      </c>
      <c r="H21" s="39" t="inlineStr">
        <is>
          <t>AKYILDIZ store</t>
        </is>
      </c>
      <c r="I21" s="40" t="n">
        <v>81.0</v>
      </c>
      <c r="J21" s="41" t="n">
        <v>461.9</v>
      </c>
      <c r="K21" s="42" t="n">
        <v>438.8</v>
      </c>
      <c r="L21" s="43" t="n">
        <v>19.0</v>
      </c>
      <c r="M21" s="44" t="n">
        <v>248.41</v>
      </c>
      <c r="N21" s="45" t="inlineStr">
        <is>
          <t>7 Temmuz 08.00-10 Temmuz 07.59</t>
        </is>
      </c>
      <c r="O21" s="46" t="n">
        <v>2.7</v>
      </c>
      <c r="P21" s="47" t="inlineStr">
        <is>
          <t>10 Temmuz 08.00-14 Temmuz 07.59</t>
        </is>
      </c>
      <c r="Q21" s="48" t="n">
        <v>2.7</v>
      </c>
      <c r="R21" s="49" t="n">
        <v>438.8</v>
      </c>
      <c r="S21" s="50"/>
      <c r="T21" s="51"/>
      <c r="U21" s="52"/>
      <c r="V21" s="53" t="n">
        <f>=IF(OR(S21="", T21="", ISBLANK(O21)), "-", IF(OR(ISNUMBER(SEARCH("3 Günlük", T21)), ISNUMBER(SEARCH("7 Günlük", T21))), IF(S21&lt;=M21, O21, "-"), "-"))</f>
        <v>0.0</v>
      </c>
      <c r="W21" s="54" t="n">
        <f>=IF(OR(S21="", T21=""), "-", IF(OR(ISNUMBER(SEARCH("4 Günlük", T21)), ISNUMBER(SEARCH("7 Günlük", T21))), IF(S21&lt;=M21, Q21, "-"), "-"))</f>
        <v>0.0</v>
      </c>
      <c r="X21" s="55" t="str">
        <f>=IF(ISBLANK(S21), "", "Hayır")</f>
      </c>
      <c r="Y21" s="56" t="inlineStr">
        <is>
          <t>f342732d-532c-4e1a-9291-1629817e7404</t>
        </is>
      </c>
      <c r="Z21" s="57" t="inlineStr">
        <is>
          <t>7 Günlük Fiyat</t>
        </is>
      </c>
      <c r="AA21" s="58"/>
      <c r="AB21" s="59"/>
      <c r="AC21" s="60"/>
      <c r="AD21" s="61"/>
      <c r="AE21" s="62"/>
    </row>
    <row r="22">
      <c r="A22" s="32" t="inlineStr">
        <is>
          <t>Türk Bayrağı 70x105 cm Milli Bayramlar İçin Türk Bayrağı Balkona Arabaya Asılabilen Türk Bayrağı</t>
        </is>
      </c>
      <c r="B22" s="33" t="inlineStr">
        <is>
          <t>45730521</t>
        </is>
      </c>
      <c r="C22" s="34" t="inlineStr">
        <is>
          <t>ADB0000000002</t>
        </is>
      </c>
      <c r="D22" s="35" t="inlineStr">
        <is>
          <t/>
        </is>
      </c>
      <c r="E22" s="36"/>
      <c r="F22" s="37" t="inlineStr">
        <is>
          <t>ADB002</t>
        </is>
      </c>
      <c r="G22" s="38" t="inlineStr">
        <is>
          <t>Bayrak</t>
        </is>
      </c>
      <c r="H22" s="39" t="inlineStr">
        <is>
          <t>Antalya Dünya Bayrak</t>
        </is>
      </c>
      <c r="I22" s="40" t="n">
        <v>23.0</v>
      </c>
      <c r="J22" s="41" t="n">
        <v>200.0</v>
      </c>
      <c r="K22" s="42" t="n">
        <v>200.0</v>
      </c>
      <c r="L22" s="43" t="n">
        <v>19.0</v>
      </c>
      <c r="M22" s="44" t="n">
        <v>156.92</v>
      </c>
      <c r="N22" s="45" t="inlineStr">
        <is>
          <t>7 Temmuz 08.00-10 Temmuz 07.59</t>
        </is>
      </c>
      <c r="O22" s="46" t="n">
        <v>9.0</v>
      </c>
      <c r="P22" s="47" t="inlineStr">
        <is>
          <t>10 Temmuz 08.00-14 Temmuz 07.59</t>
        </is>
      </c>
      <c r="Q22" s="48" t="n">
        <v>12.6</v>
      </c>
      <c r="R22" s="49" t="n">
        <v>200.0</v>
      </c>
      <c r="S22" s="50"/>
      <c r="T22" s="51"/>
      <c r="U22" s="52"/>
      <c r="V22" s="53" t="n">
        <f>=IF(OR(S22="", T22="", ISBLANK(O22)), "-", IF(OR(ISNUMBER(SEARCH("3 Günlük", T22)), ISNUMBER(SEARCH("7 Günlük", T22))), IF(S22&lt;=M22, O22, "-"), "-"))</f>
        <v>0.0</v>
      </c>
      <c r="W22" s="54" t="n">
        <f>=IF(OR(S22="", T22=""), "-", IF(OR(ISNUMBER(SEARCH("4 Günlük", T22)), ISNUMBER(SEARCH("7 Günlük", T22))), IF(S22&lt;=M22, Q22, "-"), "-"))</f>
        <v>0.0</v>
      </c>
      <c r="X22" s="55" t="str">
        <f>=IF(ISBLANK(S22), "", "Hayır")</f>
      </c>
      <c r="Y22" s="56" t="inlineStr">
        <is>
          <t>f342732d-532c-4e1a-9291-1629817e7404</t>
        </is>
      </c>
      <c r="Z22" s="57" t="inlineStr">
        <is>
          <t>3 Günlük Fiyat (7 Temmuz 08.00-10 Temmuz 07.59)</t>
        </is>
      </c>
      <c r="AA22" s="58" t="inlineStr">
        <is>
          <t>4 Günlük Fiyat (10 Temmuz 08.00-14 Temmuz 07.59)</t>
        </is>
      </c>
      <c r="AB22" s="59" t="inlineStr">
        <is>
          <t>7 Günlük Fiyat</t>
        </is>
      </c>
      <c r="AC22" s="60"/>
      <c r="AD22" s="61"/>
      <c r="AE22" s="62"/>
    </row>
    <row r="23">
      <c r="A23" s="32" t="inlineStr">
        <is>
          <t>Türk Bayrağı 600x900 cm (6 METRE X 9 METRE) - Raşel Kumaş Büyük Ebat</t>
        </is>
      </c>
      <c r="B23" s="33" t="inlineStr">
        <is>
          <t>989552056</t>
        </is>
      </c>
      <c r="C23" s="34" t="inlineStr">
        <is>
          <t>86931282052075</t>
        </is>
      </c>
      <c r="D23" s="35" t="inlineStr">
        <is>
          <t>TBR-RSL-600x900</t>
        </is>
      </c>
      <c r="E23" s="36"/>
      <c r="F23" s="37" t="inlineStr">
        <is>
          <t>TBR-RAS-600x900</t>
        </is>
      </c>
      <c r="G23" s="38" t="inlineStr">
        <is>
          <t>Bayrak</t>
        </is>
      </c>
      <c r="H23" s="39" t="inlineStr">
        <is>
          <t>AKYILDIZ store</t>
        </is>
      </c>
      <c r="I23" s="40" t="n">
        <v>31.0</v>
      </c>
      <c r="J23" s="41" t="n">
        <v>5512.0</v>
      </c>
      <c r="K23" s="42" t="n">
        <v>5236.4</v>
      </c>
      <c r="L23" s="43" t="n">
        <v>19.0</v>
      </c>
      <c r="M23" s="44" t="n">
        <v>3835.6</v>
      </c>
      <c r="N23" s="45" t="inlineStr">
        <is>
          <t>7 Temmuz 08.00-10 Temmuz 07.59</t>
        </is>
      </c>
      <c r="O23" s="46" t="n">
        <v>4.2</v>
      </c>
      <c r="P23" s="47" t="inlineStr">
        <is>
          <t>10 Temmuz 08.00-14 Temmuz 07.59</t>
        </is>
      </c>
      <c r="Q23" s="48" t="n">
        <v>9.2</v>
      </c>
      <c r="R23" s="49" t="n">
        <v>5236.4</v>
      </c>
      <c r="S23" s="50"/>
      <c r="T23" s="51"/>
      <c r="U23" s="52"/>
      <c r="V23" s="53" t="n">
        <f>=IF(OR(S23="", T23="", ISBLANK(O23)), "-", IF(OR(ISNUMBER(SEARCH("3 Günlük", T23)), ISNUMBER(SEARCH("7 Günlük", T23))), IF(S23&lt;=M23, O23, "-"), "-"))</f>
        <v>0.0</v>
      </c>
      <c r="W23" s="54" t="n">
        <f>=IF(OR(S23="", T23=""), "-", IF(OR(ISNUMBER(SEARCH("4 Günlük", T23)), ISNUMBER(SEARCH("7 Günlük", T23))), IF(S23&lt;=M23, Q23, "-"), "-"))</f>
        <v>0.0</v>
      </c>
      <c r="X23" s="55" t="str">
        <f>=IF(ISBLANK(S23), "", "Hayır")</f>
      </c>
      <c r="Y23" s="56" t="inlineStr">
        <is>
          <t>f342732d-532c-4e1a-9291-1629817e7404</t>
        </is>
      </c>
      <c r="Z23" s="57" t="inlineStr">
        <is>
          <t>3 Günlük Fiyat (7 Temmuz 08.00-10 Temmuz 07.59)</t>
        </is>
      </c>
      <c r="AA23" s="58" t="inlineStr">
        <is>
          <t>4 Günlük Fiyat (10 Temmuz 08.00-14 Temmuz 07.59)</t>
        </is>
      </c>
      <c r="AB23" s="59" t="inlineStr">
        <is>
          <t>7 Günlük Fiyat</t>
        </is>
      </c>
      <c r="AC23" s="60"/>
      <c r="AD23" s="61"/>
      <c r="AE23" s="62"/>
    </row>
    <row r="24">
      <c r="A24" s="32" t="inlineStr">
        <is>
          <t>5 Adet 20x30 Cm - Bez Kumaş Sopalı Türk Bayrağı</t>
        </is>
      </c>
      <c r="B24" s="33" t="inlineStr">
        <is>
          <t>1024353817</t>
        </is>
      </c>
      <c r="C24" s="34" t="inlineStr">
        <is>
          <t>A20X30STB</t>
        </is>
      </c>
      <c r="D24" s="35"/>
      <c r="E24" s="36"/>
      <c r="F24" s="37" t="inlineStr">
        <is>
          <t>STB20X30A5</t>
        </is>
      </c>
      <c r="G24" s="38" t="inlineStr">
        <is>
          <t>Bayrak</t>
        </is>
      </c>
      <c r="H24" s="39" t="inlineStr">
        <is>
          <t>Alpaka</t>
        </is>
      </c>
      <c r="I24" s="40" t="n">
        <v>987.0</v>
      </c>
      <c r="J24" s="41" t="n">
        <v>180.0</v>
      </c>
      <c r="K24" s="42" t="n">
        <v>180.0</v>
      </c>
      <c r="L24" s="43" t="n">
        <v>19.0</v>
      </c>
      <c r="M24" s="44" t="n">
        <v>116.99</v>
      </c>
      <c r="N24" s="45" t="inlineStr">
        <is>
          <t>7 Temmuz 08.00-10 Temmuz 07.59</t>
        </is>
      </c>
      <c r="O24" s="46" t="n">
        <v>4.6</v>
      </c>
      <c r="P24" s="47" t="inlineStr">
        <is>
          <t>10 Temmuz 08.00-14 Temmuz 07.59</t>
        </is>
      </c>
      <c r="Q24" s="48" t="n">
        <v>7.9</v>
      </c>
      <c r="R24" s="49" t="n">
        <v>180.0</v>
      </c>
      <c r="S24" s="50"/>
      <c r="T24" s="51"/>
      <c r="U24" s="52"/>
      <c r="V24" s="53" t="n">
        <f>=IF(OR(S24="", T24="", ISBLANK(O24)), "-", IF(OR(ISNUMBER(SEARCH("3 Günlük", T24)), ISNUMBER(SEARCH("7 Günlük", T24))), IF(S24&lt;=M24, O24, "-"), "-"))</f>
        <v>0.0</v>
      </c>
      <c r="W24" s="54" t="n">
        <f>=IF(OR(S24="", T24=""), "-", IF(OR(ISNUMBER(SEARCH("4 Günlük", T24)), ISNUMBER(SEARCH("7 Günlük", T24))), IF(S24&lt;=M24, Q24, "-"), "-"))</f>
        <v>0.0</v>
      </c>
      <c r="X24" s="55" t="str">
        <f>=IF(ISBLANK(S24), "", "Hayır")</f>
      </c>
      <c r="Y24" s="56" t="inlineStr">
        <is>
          <t>f342732d-532c-4e1a-9291-1629817e7404</t>
        </is>
      </c>
      <c r="Z24" s="57" t="inlineStr">
        <is>
          <t>3 Günlük Fiyat (7 Temmuz 08.00-10 Temmuz 07.59)</t>
        </is>
      </c>
      <c r="AA24" s="58" t="inlineStr">
        <is>
          <t>4 Günlük Fiyat (10 Temmuz 08.00-14 Temmuz 07.59)</t>
        </is>
      </c>
      <c r="AB24" s="59" t="inlineStr">
        <is>
          <t>7 Günlük Fiyat</t>
        </is>
      </c>
      <c r="AC24" s="60"/>
      <c r="AD24" s="61"/>
      <c r="AE24" s="62"/>
    </row>
    <row r="25">
      <c r="A25" s="32" t="inlineStr">
        <is>
          <t>10 Adet 20x30 Cm - Bez Kumaş Sopalı Türk Bayrağı</t>
        </is>
      </c>
      <c r="B25" s="33" t="inlineStr">
        <is>
          <t>761551267</t>
        </is>
      </c>
      <c r="C25" s="34" t="inlineStr">
        <is>
          <t>STB20X30AS10</t>
        </is>
      </c>
      <c r="D25" s="35" t="inlineStr">
        <is>
          <t/>
        </is>
      </c>
      <c r="E25" s="36"/>
      <c r="F25" s="37" t="inlineStr">
        <is>
          <t>STB20X30AS10</t>
        </is>
      </c>
      <c r="G25" s="38" t="inlineStr">
        <is>
          <t>Bayrak</t>
        </is>
      </c>
      <c r="H25" s="39" t="inlineStr">
        <is>
          <t>Alpaka</t>
        </is>
      </c>
      <c r="I25" s="40" t="n">
        <v>362.0</v>
      </c>
      <c r="J25" s="41" t="n">
        <v>285.0</v>
      </c>
      <c r="K25" s="42" t="n">
        <v>285.0</v>
      </c>
      <c r="L25" s="43" t="n">
        <v>19.0</v>
      </c>
      <c r="M25" s="44" t="n">
        <v>144.61</v>
      </c>
      <c r="N25" s="45" t="inlineStr">
        <is>
          <t>7 Temmuz 08.00-10 Temmuz 07.59</t>
        </is>
      </c>
      <c r="O25" s="46" t="n">
        <v>2.7</v>
      </c>
      <c r="P25" s="47" t="inlineStr">
        <is>
          <t>10 Temmuz 08.00-14 Temmuz 07.59</t>
        </is>
      </c>
      <c r="Q25" s="48" t="n">
        <v>7.1</v>
      </c>
      <c r="R25" s="49" t="n">
        <v>285.0</v>
      </c>
      <c r="S25" s="50"/>
      <c r="T25" s="51"/>
      <c r="U25" s="52"/>
      <c r="V25" s="53" t="n">
        <f>=IF(OR(S25="", T25="", ISBLANK(O25)), "-", IF(OR(ISNUMBER(SEARCH("3 Günlük", T25)), ISNUMBER(SEARCH("7 Günlük", T25))), IF(S25&lt;=M25, O25, "-"), "-"))</f>
        <v>0.0</v>
      </c>
      <c r="W25" s="54" t="n">
        <f>=IF(OR(S25="", T25=""), "-", IF(OR(ISNUMBER(SEARCH("4 Günlük", T25)), ISNUMBER(SEARCH("7 Günlük", T25))), IF(S25&lt;=M25, Q25, "-"), "-"))</f>
        <v>0.0</v>
      </c>
      <c r="X25" s="55" t="str">
        <f>=IF(ISBLANK(S25), "", "Hayır")</f>
      </c>
      <c r="Y25" s="56" t="inlineStr">
        <is>
          <t>f342732d-532c-4e1a-9291-1629817e7404</t>
        </is>
      </c>
      <c r="Z25" s="57" t="inlineStr">
        <is>
          <t>3 Günlük Fiyat (7 Temmuz 08.00-10 Temmuz 07.59)</t>
        </is>
      </c>
      <c r="AA25" s="58" t="inlineStr">
        <is>
          <t>4 Günlük Fiyat (10 Temmuz 08.00-14 Temmuz 07.59)</t>
        </is>
      </c>
      <c r="AB25" s="59" t="inlineStr">
        <is>
          <t>7 Günlük Fiyat</t>
        </is>
      </c>
      <c r="AC25" s="60"/>
      <c r="AD25" s="61"/>
      <c r="AE25" s="62"/>
    </row>
    <row r="26">
      <c r="A26" s="32" t="inlineStr">
        <is>
          <t>Türk Bayrağı 300x450 cm  1.Kalite Raşel Kumaş</t>
        </is>
      </c>
      <c r="B26" s="33" t="inlineStr">
        <is>
          <t>850536240</t>
        </is>
      </c>
      <c r="C26" s="34" t="inlineStr">
        <is>
          <t>21887469688</t>
        </is>
      </c>
      <c r="D26" s="35" t="inlineStr">
        <is>
          <t/>
        </is>
      </c>
      <c r="E26" s="36"/>
      <c r="F26" s="37" t="inlineStr">
        <is>
          <t>BLSN101</t>
        </is>
      </c>
      <c r="G26" s="38" t="inlineStr">
        <is>
          <t>Bayrak</t>
        </is>
      </c>
      <c r="H26" s="39" t="inlineStr">
        <is>
          <t>Bilsan</t>
        </is>
      </c>
      <c r="I26" s="40" t="n">
        <v>29.0</v>
      </c>
      <c r="J26" s="41" t="n">
        <v>1399.0</v>
      </c>
      <c r="K26" s="42" t="n">
        <v>1399.0</v>
      </c>
      <c r="L26" s="43" t="n">
        <v>19.0</v>
      </c>
      <c r="M26" s="44" t="n">
        <v>1188.8</v>
      </c>
      <c r="N26" s="45" t="inlineStr">
        <is>
          <t>7 Temmuz 08.00-10 Temmuz 07.59</t>
        </is>
      </c>
      <c r="O26" s="46" t="n">
        <v>10.1</v>
      </c>
      <c r="P26" s="47" t="inlineStr">
        <is>
          <t>10 Temmuz 08.00-14 Temmuz 07.59</t>
        </is>
      </c>
      <c r="Q26" s="48" t="n">
        <v>13.4</v>
      </c>
      <c r="R26" s="49" t="n">
        <v>1399.0</v>
      </c>
      <c r="S26" s="50"/>
      <c r="T26" s="51"/>
      <c r="U26" s="52"/>
      <c r="V26" s="53" t="n">
        <f>=IF(OR(S26="", T26="", ISBLANK(O26)), "-", IF(OR(ISNUMBER(SEARCH("3 Günlük", T26)), ISNUMBER(SEARCH("7 Günlük", T26))), IF(S26&lt;=M26, O26, "-"), "-"))</f>
        <v>0.0</v>
      </c>
      <c r="W26" s="54" t="n">
        <f>=IF(OR(S26="", T26=""), "-", IF(OR(ISNUMBER(SEARCH("4 Günlük", T26)), ISNUMBER(SEARCH("7 Günlük", T26))), IF(S26&lt;=M26, Q26, "-"), "-"))</f>
        <v>0.0</v>
      </c>
      <c r="X26" s="55" t="str">
        <f>=IF(ISBLANK(S26), "", "Hayır")</f>
      </c>
      <c r="Y26" s="56" t="inlineStr">
        <is>
          <t>f342732d-532c-4e1a-9291-1629817e7404</t>
        </is>
      </c>
      <c r="Z26" s="57" t="inlineStr">
        <is>
          <t>3 Günlük Fiyat (7 Temmuz 08.00-10 Temmuz 07.59)</t>
        </is>
      </c>
      <c r="AA26" s="58" t="inlineStr">
        <is>
          <t>4 Günlük Fiyat (10 Temmuz 08.00-14 Temmuz 07.59)</t>
        </is>
      </c>
      <c r="AB26" s="59" t="inlineStr">
        <is>
          <t>7 Günlük Fiyat</t>
        </is>
      </c>
      <c r="AC26" s="60"/>
      <c r="AD26" s="61"/>
      <c r="AE26" s="62"/>
    </row>
    <row r="27">
      <c r="A27" s="32" t="inlineStr">
        <is>
          <t>Atatürk Baskılı Türk Bayrağı Atatürk Posteri 100x150 Cm Raşel Kumaş Dijital Baskı</t>
        </is>
      </c>
      <c r="B27" s="33" t="inlineStr">
        <is>
          <t>760035496</t>
        </is>
      </c>
      <c r="C27" s="34" t="inlineStr">
        <is>
          <t>ATA100X150R</t>
        </is>
      </c>
      <c r="D27" s="35" t="inlineStr">
        <is>
          <t/>
        </is>
      </c>
      <c r="E27" s="36"/>
      <c r="F27" s="37" t="inlineStr">
        <is>
          <t>ATA100X150R</t>
        </is>
      </c>
      <c r="G27" s="38" t="inlineStr">
        <is>
          <t>Bayrak</t>
        </is>
      </c>
      <c r="H27" s="39" t="inlineStr">
        <is>
          <t>Raşel kumaş</t>
        </is>
      </c>
      <c r="I27" s="40" t="n">
        <v>18.0</v>
      </c>
      <c r="J27" s="41" t="n">
        <v>365.0</v>
      </c>
      <c r="K27" s="42" t="n">
        <v>365.0</v>
      </c>
      <c r="L27" s="43" t="n">
        <v>19.0</v>
      </c>
      <c r="M27" s="44" t="n">
        <v>168.06</v>
      </c>
      <c r="N27" s="45" t="inlineStr">
        <is>
          <t>7 Temmuz 08.00-10 Temmuz 07.59</t>
        </is>
      </c>
      <c r="O27" s="46" t="n">
        <v>4.9</v>
      </c>
      <c r="P27" s="47" t="inlineStr">
        <is>
          <t>10 Temmuz 08.00-14 Temmuz 07.59</t>
        </is>
      </c>
      <c r="Q27" s="48" t="n">
        <v>9.7</v>
      </c>
      <c r="R27" s="49" t="n">
        <v>365.0</v>
      </c>
      <c r="S27" s="50"/>
      <c r="T27" s="51"/>
      <c r="U27" s="52"/>
      <c r="V27" s="53" t="n">
        <f>=IF(OR(S27="", T27="", ISBLANK(O27)), "-", IF(OR(ISNUMBER(SEARCH("3 Günlük", T27)), ISNUMBER(SEARCH("7 Günlük", T27))), IF(S27&lt;=M27, O27, "-"), "-"))</f>
        <v>0.0</v>
      </c>
      <c r="W27" s="54" t="n">
        <f>=IF(OR(S27="", T27=""), "-", IF(OR(ISNUMBER(SEARCH("4 Günlük", T27)), ISNUMBER(SEARCH("7 Günlük", T27))), IF(S27&lt;=M27, Q27, "-"), "-"))</f>
        <v>0.0</v>
      </c>
      <c r="X27" s="55" t="str">
        <f>=IF(ISBLANK(S27), "", "Hayır")</f>
      </c>
      <c r="Y27" s="56" t="inlineStr">
        <is>
          <t>f342732d-532c-4e1a-9291-1629817e7404</t>
        </is>
      </c>
      <c r="Z27" s="57" t="inlineStr">
        <is>
          <t>3 Günlük Fiyat (7 Temmuz 08.00-10 Temmuz 07.59)</t>
        </is>
      </c>
      <c r="AA27" s="58" t="inlineStr">
        <is>
          <t>4 Günlük Fiyat (10 Temmuz 08.00-14 Temmuz 07.59)</t>
        </is>
      </c>
      <c r="AB27" s="59" t="inlineStr">
        <is>
          <t>7 Günlük Fiyat</t>
        </is>
      </c>
      <c r="AC27" s="60"/>
      <c r="AD27" s="61"/>
      <c r="AE27" s="62"/>
    </row>
    <row r="28">
      <c r="A28" s="32" t="inlineStr">
        <is>
          <t>600X900 CM RAŞEL KUMAŞ TÜRK BAYRAĞI</t>
        </is>
      </c>
      <c r="B28" s="33" t="inlineStr">
        <is>
          <t>754198765</t>
        </is>
      </c>
      <c r="C28" s="34" t="inlineStr">
        <is>
          <t>TB600X900R</t>
        </is>
      </c>
      <c r="D28" s="35"/>
      <c r="E28" s="36"/>
      <c r="F28" s="37" t="inlineStr">
        <is>
          <t>TB600X900R</t>
        </is>
      </c>
      <c r="G28" s="38" t="inlineStr">
        <is>
          <t>Bayrak</t>
        </is>
      </c>
      <c r="H28" s="39" t="inlineStr">
        <is>
          <t>Raşel kumaş</t>
        </is>
      </c>
      <c r="I28" s="40" t="n">
        <v>8.0</v>
      </c>
      <c r="J28" s="41" t="n">
        <v>5300.0</v>
      </c>
      <c r="K28" s="42" t="n">
        <v>5300.0</v>
      </c>
      <c r="L28" s="43" t="n">
        <v>19.0</v>
      </c>
      <c r="M28" s="44" t="n">
        <v>4396.6</v>
      </c>
      <c r="N28" s="45" t="inlineStr">
        <is>
          <t>7 Temmuz 08.00-10 Temmuz 07.59</t>
        </is>
      </c>
      <c r="O28" s="46" t="n">
        <v>11.0</v>
      </c>
      <c r="P28" s="47" t="inlineStr">
        <is>
          <t>10 Temmuz 08.00-14 Temmuz 07.59</t>
        </is>
      </c>
      <c r="Q28" s="48" t="n">
        <v>14.0</v>
      </c>
      <c r="R28" s="49" t="n">
        <v>5300.0</v>
      </c>
      <c r="S28" s="50"/>
      <c r="T28" s="51"/>
      <c r="U28" s="52"/>
      <c r="V28" s="53" t="n">
        <f>=IF(OR(S28="", T28="", ISBLANK(O28)), "-", IF(OR(ISNUMBER(SEARCH("3 Günlük", T28)), ISNUMBER(SEARCH("7 Günlük", T28))), IF(S28&lt;=M28, O28, "-"), "-"))</f>
        <v>0.0</v>
      </c>
      <c r="W28" s="54" t="n">
        <f>=IF(OR(S28="", T28=""), "-", IF(OR(ISNUMBER(SEARCH("4 Günlük", T28)), ISNUMBER(SEARCH("7 Günlük", T28))), IF(S28&lt;=M28, Q28, "-"), "-"))</f>
        <v>0.0</v>
      </c>
      <c r="X28" s="55" t="str">
        <f>=IF(ISBLANK(S28), "", "Hayır")</f>
      </c>
      <c r="Y28" s="56" t="inlineStr">
        <is>
          <t>f342732d-532c-4e1a-9291-1629817e7404</t>
        </is>
      </c>
      <c r="Z28" s="57" t="inlineStr">
        <is>
          <t>3 Günlük Fiyat (7 Temmuz 08.00-10 Temmuz 07.59)</t>
        </is>
      </c>
      <c r="AA28" s="58" t="inlineStr">
        <is>
          <t>4 Günlük Fiyat (10 Temmuz 08.00-14 Temmuz 07.59)</t>
        </is>
      </c>
      <c r="AB28" s="59" t="inlineStr">
        <is>
          <t>7 Günlük Fiyat</t>
        </is>
      </c>
      <c r="AC28" s="60"/>
      <c r="AD28" s="61"/>
      <c r="AE28" s="62"/>
    </row>
    <row r="29">
      <c r="A29" s="32" t="inlineStr">
        <is>
          <t>Türk Bayrağı 800x1200 cm – Raşel Kumaş, Dev Ebat, Çift Dikiş, Solmaz Renk, Dış Mekân Kalitesi</t>
        </is>
      </c>
      <c r="B29" s="33" t="inlineStr">
        <is>
          <t>1019817094</t>
        </is>
      </c>
      <c r="C29" s="34" t="inlineStr">
        <is>
          <t>8697654321242</t>
        </is>
      </c>
      <c r="D29" s="35" t="inlineStr">
        <is>
          <t>TB-RSL-800x1200</t>
        </is>
      </c>
      <c r="E29" s="36"/>
      <c r="F29" s="37" t="inlineStr">
        <is>
          <t>TB-RSL-800x1200</t>
        </is>
      </c>
      <c r="G29" s="38" t="inlineStr">
        <is>
          <t>Bayrak</t>
        </is>
      </c>
      <c r="H29" s="39" t="inlineStr">
        <is>
          <t>AKYILDIZ store</t>
        </is>
      </c>
      <c r="I29" s="40" t="n">
        <v>999.0</v>
      </c>
      <c r="J29" s="41" t="n">
        <v>11025.0</v>
      </c>
      <c r="K29" s="42" t="n">
        <v>9507.42</v>
      </c>
      <c r="L29" s="43" t="n">
        <v>13.9</v>
      </c>
      <c r="M29" s="44" t="n">
        <v>7508.08</v>
      </c>
      <c r="N29" s="45" t="inlineStr">
        <is>
          <t>7 Temmuz 08.00-10 Temmuz 07.59</t>
        </is>
      </c>
      <c r="O29" s="46" t="n">
        <v>2.7</v>
      </c>
      <c r="P29" s="47" t="inlineStr">
        <is>
          <t>10 Temmuz 08.00-14 Temmuz 07.59</t>
        </is>
      </c>
      <c r="Q29" s="48" t="n">
        <v>6.0</v>
      </c>
      <c r="R29" s="49" t="n">
        <v>9507.42</v>
      </c>
      <c r="S29" s="50"/>
      <c r="T29" s="51"/>
      <c r="U29" s="52"/>
      <c r="V29" s="53" t="n">
        <f>=IF(OR(S29="", T29="", ISBLANK(O29)), "-", IF(OR(ISNUMBER(SEARCH("3 Günlük", T29)), ISNUMBER(SEARCH("7 Günlük", T29))), IF(S29&lt;=M29, O29, "-"), "-"))</f>
        <v>0.0</v>
      </c>
      <c r="W29" s="54" t="n">
        <f>=IF(OR(S29="", T29=""), "-", IF(OR(ISNUMBER(SEARCH("4 Günlük", T29)), ISNUMBER(SEARCH("7 Günlük", T29))), IF(S29&lt;=M29, Q29, "-"), "-"))</f>
        <v>0.0</v>
      </c>
      <c r="X29" s="55" t="str">
        <f>=IF(ISBLANK(S29), "", "Hayır")</f>
      </c>
      <c r="Y29" s="56" t="inlineStr">
        <is>
          <t>f342732d-532c-4e1a-9291-1629817e7404</t>
        </is>
      </c>
      <c r="Z29" s="57" t="inlineStr">
        <is>
          <t>3 Günlük Fiyat (7 Temmuz 08.00-10 Temmuz 07.59)</t>
        </is>
      </c>
      <c r="AA29" s="58" t="inlineStr">
        <is>
          <t>4 Günlük Fiyat (10 Temmuz 08.00-14 Temmuz 07.59)</t>
        </is>
      </c>
      <c r="AB29" s="59" t="inlineStr">
        <is>
          <t>7 Günlük Fiyat</t>
        </is>
      </c>
      <c r="AC29" s="60"/>
      <c r="AD29" s="61"/>
      <c r="AE29" s="62"/>
    </row>
    <row r="30">
      <c r="A30" s="32" t="inlineStr">
        <is>
          <t>Türk Bayrağı 400x600 cm - Raşel Kumaş 1. Kalite</t>
        </is>
      </c>
      <c r="B30" s="33" t="inlineStr">
        <is>
          <t>858165964</t>
        </is>
      </c>
      <c r="C30" s="34" t="inlineStr">
        <is>
          <t>TYBV8U2HKSUFG3JI59</t>
        </is>
      </c>
      <c r="D30" s="35" t="inlineStr">
        <is>
          <t/>
        </is>
      </c>
      <c r="E30" s="36"/>
      <c r="F30" s="37" t="inlineStr">
        <is>
          <t>EsiByrk600x600Rsl</t>
        </is>
      </c>
      <c r="G30" s="38" t="inlineStr">
        <is>
          <t>Bayrak</t>
        </is>
      </c>
      <c r="H30" s="39" t="inlineStr">
        <is>
          <t>Bayrak</t>
        </is>
      </c>
      <c r="I30" s="40" t="n">
        <v>44.0</v>
      </c>
      <c r="J30" s="41" t="n">
        <v>2600.0</v>
      </c>
      <c r="K30" s="42" t="n">
        <v>2600.0</v>
      </c>
      <c r="L30" s="43" t="n">
        <v>19.0</v>
      </c>
      <c r="M30" s="44" t="n">
        <v>2031.98</v>
      </c>
      <c r="N30" s="45" t="inlineStr">
        <is>
          <t>7 Temmuz 08.00-10 Temmuz 07.59</t>
        </is>
      </c>
      <c r="O30" s="46" t="n">
        <v>9.2</v>
      </c>
      <c r="P30" s="47" t="inlineStr">
        <is>
          <t>10 Temmuz 08.00-14 Temmuz 07.59</t>
        </is>
      </c>
      <c r="Q30" s="48" t="n">
        <v>12.8</v>
      </c>
      <c r="R30" s="49" t="n">
        <v>2600.0</v>
      </c>
      <c r="S30" s="50"/>
      <c r="T30" s="51"/>
      <c r="U30" s="52"/>
      <c r="V30" s="53" t="n">
        <f>=IF(OR(S30="", T30="", ISBLANK(O30)), "-", IF(OR(ISNUMBER(SEARCH("3 Günlük", T30)), ISNUMBER(SEARCH("7 Günlük", T30))), IF(S30&lt;=M30, O30, "-"), "-"))</f>
        <v>0.0</v>
      </c>
      <c r="W30" s="54" t="n">
        <f>=IF(OR(S30="", T30=""), "-", IF(OR(ISNUMBER(SEARCH("4 Günlük", T30)), ISNUMBER(SEARCH("7 Günlük", T30))), IF(S30&lt;=M30, Q30, "-"), "-"))</f>
        <v>0.0</v>
      </c>
      <c r="X30" s="55" t="str">
        <f>=IF(ISBLANK(S30), "", "Hayır")</f>
      </c>
      <c r="Y30" s="56" t="inlineStr">
        <is>
          <t>f342732d-532c-4e1a-9291-1629817e7404</t>
        </is>
      </c>
      <c r="Z30" s="57" t="inlineStr">
        <is>
          <t>3 Günlük Fiyat (7 Temmuz 08.00-10 Temmuz 07.59)</t>
        </is>
      </c>
      <c r="AA30" s="58" t="inlineStr">
        <is>
          <t>4 Günlük Fiyat (10 Temmuz 08.00-14 Temmuz 07.59)</t>
        </is>
      </c>
      <c r="AB30" s="59" t="inlineStr">
        <is>
          <t>7 Günlük Fiyat</t>
        </is>
      </c>
      <c r="AC30" s="60"/>
      <c r="AD30" s="61"/>
      <c r="AE30" s="62"/>
    </row>
    <row r="31">
      <c r="A31" s="32" t="inlineStr">
        <is>
          <t>Türk Bayrağı 100x150 cm 1.Kalite raşel Kumaş</t>
        </is>
      </c>
      <c r="B31" s="33" t="inlineStr">
        <is>
          <t>850533998</t>
        </is>
      </c>
      <c r="C31" s="34" t="inlineStr">
        <is>
          <t>21887469678</t>
        </is>
      </c>
      <c r="D31" s="35"/>
      <c r="E31" s="36"/>
      <c r="F31" s="37" t="inlineStr">
        <is>
          <t>TYCJ8TO5ON172379188933287</t>
        </is>
      </c>
      <c r="G31" s="38" t="inlineStr">
        <is>
          <t>Bayrak</t>
        </is>
      </c>
      <c r="H31" s="39" t="inlineStr">
        <is>
          <t>Bilsan</t>
        </is>
      </c>
      <c r="I31" s="40" t="n">
        <v>993.0</v>
      </c>
      <c r="J31" s="41" t="n">
        <v>390.0</v>
      </c>
      <c r="K31" s="42" t="n">
        <v>390.0</v>
      </c>
      <c r="L31" s="43" t="n">
        <v>19.0</v>
      </c>
      <c r="M31" s="44" t="n">
        <v>252.92</v>
      </c>
      <c r="N31" s="45" t="inlineStr">
        <is>
          <t>7 Temmuz 08.00-10 Temmuz 07.59</t>
        </is>
      </c>
      <c r="O31" s="46" t="n">
        <v>3.6</v>
      </c>
      <c r="P31" s="47" t="inlineStr">
        <is>
          <t>10 Temmuz 08.00-14 Temmuz 07.59</t>
        </is>
      </c>
      <c r="Q31" s="48" t="n">
        <v>7.1</v>
      </c>
      <c r="R31" s="49" t="n">
        <v>390.0</v>
      </c>
      <c r="S31" s="50"/>
      <c r="T31" s="51"/>
      <c r="U31" s="52"/>
      <c r="V31" s="53" t="n">
        <f>=IF(OR(S31="", T31="", ISBLANK(O31)), "-", IF(OR(ISNUMBER(SEARCH("3 Günlük", T31)), ISNUMBER(SEARCH("7 Günlük", T31))), IF(S31&lt;=M31, O31, "-"), "-"))</f>
        <v>0.0</v>
      </c>
      <c r="W31" s="54" t="n">
        <f>=IF(OR(S31="", T31=""), "-", IF(OR(ISNUMBER(SEARCH("4 Günlük", T31)), ISNUMBER(SEARCH("7 Günlük", T31))), IF(S31&lt;=M31, Q31, "-"), "-"))</f>
        <v>0.0</v>
      </c>
      <c r="X31" s="55" t="str">
        <f>=IF(ISBLANK(S31), "", "Hayır")</f>
      </c>
      <c r="Y31" s="56" t="inlineStr">
        <is>
          <t>f342732d-532c-4e1a-9291-1629817e7404</t>
        </is>
      </c>
      <c r="Z31" s="57" t="inlineStr">
        <is>
          <t>3 Günlük Fiyat (7 Temmuz 08.00-10 Temmuz 07.59)</t>
        </is>
      </c>
      <c r="AA31" s="58" t="inlineStr">
        <is>
          <t>4 Günlük Fiyat (10 Temmuz 08.00-14 Temmuz 07.59)</t>
        </is>
      </c>
      <c r="AB31" s="59" t="inlineStr">
        <is>
          <t>7 Günlük Fiyat</t>
        </is>
      </c>
      <c r="AC31" s="60"/>
      <c r="AD31" s="61"/>
      <c r="AE31" s="62"/>
    </row>
    <row r="32">
      <c r="A32" s="32" t="inlineStr">
        <is>
          <t>Atatürk Baskılı Türk Bayrağı Atatürk Posteri 70x105 Cm Raşel Kumaş Dijital Baskı</t>
        </is>
      </c>
      <c r="B32" s="33" t="inlineStr">
        <is>
          <t>760035155</t>
        </is>
      </c>
      <c r="C32" s="34" t="inlineStr">
        <is>
          <t>ATA70X105R</t>
        </is>
      </c>
      <c r="D32" s="35" t="inlineStr">
        <is>
          <t/>
        </is>
      </c>
      <c r="E32" s="36"/>
      <c r="F32" s="37" t="inlineStr">
        <is>
          <t>ATA70X105R</t>
        </is>
      </c>
      <c r="G32" s="38" t="inlineStr">
        <is>
          <t>Bayrak</t>
        </is>
      </c>
      <c r="H32" s="39" t="inlineStr">
        <is>
          <t>Raşel kumaş</t>
        </is>
      </c>
      <c r="I32" s="40" t="n">
        <v>14.0</v>
      </c>
      <c r="J32" s="41" t="n">
        <v>180.0</v>
      </c>
      <c r="K32" s="42" t="n">
        <v>180.0</v>
      </c>
      <c r="L32" s="43" t="n">
        <v>19.0</v>
      </c>
      <c r="M32" s="44" t="n">
        <v>109.85</v>
      </c>
      <c r="N32" s="45" t="inlineStr">
        <is>
          <t>7 Temmuz 08.00-10 Temmuz 07.59</t>
        </is>
      </c>
      <c r="O32" s="46" t="n">
        <v>4.2</v>
      </c>
      <c r="P32" s="47" t="inlineStr">
        <is>
          <t>10 Temmuz 08.00-14 Temmuz 07.59</t>
        </is>
      </c>
      <c r="Q32" s="48" t="n">
        <v>9.2</v>
      </c>
      <c r="R32" s="49" t="n">
        <v>180.0</v>
      </c>
      <c r="S32" s="50"/>
      <c r="T32" s="51"/>
      <c r="U32" s="52"/>
      <c r="V32" s="53" t="n">
        <f>=IF(OR(S32="", T32="", ISBLANK(O32)), "-", IF(OR(ISNUMBER(SEARCH("3 Günlük", T32)), ISNUMBER(SEARCH("7 Günlük", T32))), IF(S32&lt;=M32, O32, "-"), "-"))</f>
        <v>0.0</v>
      </c>
      <c r="W32" s="54" t="n">
        <f>=IF(OR(S32="", T32=""), "-", IF(OR(ISNUMBER(SEARCH("4 Günlük", T32)), ISNUMBER(SEARCH("7 Günlük", T32))), IF(S32&lt;=M32, Q32, "-"), "-"))</f>
        <v>0.0</v>
      </c>
      <c r="X32" s="55" t="str">
        <f>=IF(ISBLANK(S32), "", "Hayır")</f>
      </c>
      <c r="Y32" s="56" t="inlineStr">
        <is>
          <t>f342732d-532c-4e1a-9291-1629817e7404</t>
        </is>
      </c>
      <c r="Z32" s="57" t="inlineStr">
        <is>
          <t>3 Günlük Fiyat (7 Temmuz 08.00-10 Temmuz 07.59)</t>
        </is>
      </c>
      <c r="AA32" s="58" t="inlineStr">
        <is>
          <t>4 Günlük Fiyat (10 Temmuz 08.00-14 Temmuz 07.59)</t>
        </is>
      </c>
      <c r="AB32" s="59" t="inlineStr">
        <is>
          <t>7 Günlük Fiyat</t>
        </is>
      </c>
      <c r="AC32" s="60"/>
      <c r="AD32" s="61"/>
      <c r="AE32" s="62"/>
    </row>
    <row r="33">
      <c r="A33" s="32" t="inlineStr">
        <is>
          <t>400x600 Cm Türk Bayrağı</t>
        </is>
      </c>
      <c r="B33" s="33" t="inlineStr">
        <is>
          <t>412040126</t>
        </is>
      </c>
      <c r="C33" s="34" t="inlineStr">
        <is>
          <t>TB400X600R</t>
        </is>
      </c>
      <c r="D33" s="35" t="inlineStr">
        <is>
          <t/>
        </is>
      </c>
      <c r="E33" s="36"/>
      <c r="F33" s="37" t="inlineStr">
        <is>
          <t>TB400X600R</t>
        </is>
      </c>
      <c r="G33" s="38" t="inlineStr">
        <is>
          <t>Bayrak</t>
        </is>
      </c>
      <c r="H33" s="39" t="inlineStr">
        <is>
          <t>Raşel kumaş</t>
        </is>
      </c>
      <c r="I33" s="40" t="n">
        <v>33.0</v>
      </c>
      <c r="J33" s="41" t="n">
        <v>2600.0</v>
      </c>
      <c r="K33" s="42" t="n">
        <v>2600.0</v>
      </c>
      <c r="L33" s="43" t="n">
        <v>19.0</v>
      </c>
      <c r="M33" s="44" t="n">
        <v>2210.28</v>
      </c>
      <c r="N33" s="45" t="inlineStr">
        <is>
          <t>7 Temmuz 08.00-10 Temmuz 07.59</t>
        </is>
      </c>
      <c r="O33" s="46" t="n">
        <v>11.7</v>
      </c>
      <c r="P33" s="47" t="inlineStr">
        <is>
          <t>10 Temmuz 08.00-14 Temmuz 07.59</t>
        </is>
      </c>
      <c r="Q33" s="48" t="n">
        <v>14.5</v>
      </c>
      <c r="R33" s="49" t="n">
        <v>2600.0</v>
      </c>
      <c r="S33" s="50"/>
      <c r="T33" s="51"/>
      <c r="U33" s="52"/>
      <c r="V33" s="53" t="n">
        <f>=IF(OR(S33="", T33="", ISBLANK(O33)), "-", IF(OR(ISNUMBER(SEARCH("3 Günlük", T33)), ISNUMBER(SEARCH("7 Günlük", T33))), IF(S33&lt;=M33, O33, "-"), "-"))</f>
        <v>0.0</v>
      </c>
      <c r="W33" s="54" t="n">
        <f>=IF(OR(S33="", T33=""), "-", IF(OR(ISNUMBER(SEARCH("4 Günlük", T33)), ISNUMBER(SEARCH("7 Günlük", T33))), IF(S33&lt;=M33, Q33, "-"), "-"))</f>
        <v>0.0</v>
      </c>
      <c r="X33" s="55" t="str">
        <f>=IF(ISBLANK(S33), "", "Hayır")</f>
      </c>
      <c r="Y33" s="56" t="inlineStr">
        <is>
          <t>f342732d-532c-4e1a-9291-1629817e7404</t>
        </is>
      </c>
      <c r="Z33" s="57" t="inlineStr">
        <is>
          <t>3 Günlük Fiyat (7 Temmuz 08.00-10 Temmuz 07.59)</t>
        </is>
      </c>
      <c r="AA33" s="58" t="inlineStr">
        <is>
          <t>4 Günlük Fiyat (10 Temmuz 08.00-14 Temmuz 07.59)</t>
        </is>
      </c>
      <c r="AB33" s="59" t="inlineStr">
        <is>
          <t>7 Günlük Fiyat</t>
        </is>
      </c>
      <c r="AC33" s="60"/>
      <c r="AD33" s="61"/>
      <c r="AE33" s="62"/>
    </row>
    <row r="34">
      <c r="A34" s="32" t="inlineStr">
        <is>
          <t>200x300 Türk Bayrağı – 1. Kalite Kumaş</t>
        </is>
      </c>
      <c r="B34" s="33" t="inlineStr">
        <is>
          <t>6390881</t>
        </is>
      </c>
      <c r="C34" s="34" t="inlineStr">
        <is>
          <t>8694430000048</t>
        </is>
      </c>
      <c r="D34" s="35" t="inlineStr">
        <is>
          <t/>
        </is>
      </c>
      <c r="E34" s="36"/>
      <c r="F34" s="37" t="inlineStr">
        <is>
          <t>113111</t>
        </is>
      </c>
      <c r="G34" s="38" t="inlineStr">
        <is>
          <t>Bayrak</t>
        </is>
      </c>
      <c r="H34" s="39" t="inlineStr">
        <is>
          <t>Buket</t>
        </is>
      </c>
      <c r="I34" s="40" t="n">
        <v>49.0</v>
      </c>
      <c r="J34" s="41" t="n">
        <v>900.0</v>
      </c>
      <c r="K34" s="42" t="n">
        <v>900.0</v>
      </c>
      <c r="L34" s="43" t="n">
        <v>19.0</v>
      </c>
      <c r="M34" s="44" t="n">
        <v>695.81</v>
      </c>
      <c r="N34" s="45" t="inlineStr">
        <is>
          <t>7 Temmuz 08.00-10 Temmuz 07.59</t>
        </is>
      </c>
      <c r="O34" s="46" t="n">
        <v>9.0</v>
      </c>
      <c r="P34" s="47" t="inlineStr">
        <is>
          <t>10 Temmuz 08.00-14 Temmuz 07.59</t>
        </is>
      </c>
      <c r="Q34" s="48" t="n">
        <v>12.6</v>
      </c>
      <c r="R34" s="49" t="n">
        <v>900.0</v>
      </c>
      <c r="S34" s="50"/>
      <c r="T34" s="51"/>
      <c r="U34" s="52"/>
      <c r="V34" s="53" t="n">
        <f>=IF(OR(S34="", T34="", ISBLANK(O34)), "-", IF(OR(ISNUMBER(SEARCH("3 Günlük", T34)), ISNUMBER(SEARCH("7 Günlük", T34))), IF(S34&lt;=M34, O34, "-"), "-"))</f>
        <v>0.0</v>
      </c>
      <c r="W34" s="54" t="n">
        <f>=IF(OR(S34="", T34=""), "-", IF(OR(ISNUMBER(SEARCH("4 Günlük", T34)), ISNUMBER(SEARCH("7 Günlük", T34))), IF(S34&lt;=M34, Q34, "-"), "-"))</f>
        <v>0.0</v>
      </c>
      <c r="X34" s="55" t="str">
        <f>=IF(ISBLANK(S34), "", "Hayır")</f>
      </c>
      <c r="Y34" s="56" t="inlineStr">
        <is>
          <t>f342732d-532c-4e1a-9291-1629817e7404</t>
        </is>
      </c>
      <c r="Z34" s="57" t="inlineStr">
        <is>
          <t>3 Günlük Fiyat (7 Temmuz 08.00-10 Temmuz 07.59)</t>
        </is>
      </c>
      <c r="AA34" s="58" t="inlineStr">
        <is>
          <t>4 Günlük Fiyat (10 Temmuz 08.00-14 Temmuz 07.59)</t>
        </is>
      </c>
      <c r="AB34" s="59" t="inlineStr">
        <is>
          <t>7 Günlük Fiyat</t>
        </is>
      </c>
      <c r="AC34" s="60"/>
      <c r="AD34" s="61"/>
      <c r="AE34" s="62"/>
    </row>
  </sheetData>
  <dataValidations count="2">
    <dataValidation type="list" sqref="T2:T34" allowBlank="true" errorStyle="stop">
      <formula1>OFFSET($Z2,0,0,1,COUNTA($Z2:$AB2))</formula1>
    </dataValidation>
    <dataValidation type="list" sqref="X2:X34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2026-07-06T12:05:21Z</dcterms:created>
  <dc:creator>Apache POI</dc:creator>
</cp:coreProperties>
</file>