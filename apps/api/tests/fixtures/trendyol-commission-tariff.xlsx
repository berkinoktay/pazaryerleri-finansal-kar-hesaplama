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misyonTarifeleriÜrü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99" formatCode="0.00"/>
  </numFmts>
  <fonts count="71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F8CB9C"/>
      </patternFill>
    </fill>
    <fill>
      <patternFill patternType="solid">
        <fgColor rgb="DAE1F0"/>
      </patternFill>
    </fill>
    <fill>
      <patternFill patternType="solid">
        <fgColor rgb="D9EAD3"/>
      </patternFill>
    </fill>
    <fill>
      <patternFill patternType="solid">
        <fgColor rgb="E06666"/>
      </patternFill>
    </fill>
    <fill>
      <patternFill patternType="solid">
        <fgColor rgb="FBFB02"/>
      </patternFill>
    </fill>
    <fill>
      <patternFill patternType="solid">
        <fgColor rgb="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1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1" fillId="4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2" fillId="4" borderId="4" xfId="0" applyFill="true" applyBorder="true" applyFont="true">
      <alignment wrapText="true" vertical="center" horizontal="center"/>
      <protection locked="true"/>
    </xf>
    <xf numFmtId="0" fontId="3" fillId="3" borderId="4" xfId="0" applyFill="true" applyBorder="true" applyFont="true">
      <alignment wrapText="true" vertical="center" horizontal="center"/>
      <protection locked="true"/>
    </xf>
    <xf numFmtId="0" fontId="3" fillId="4" borderId="4" xfId="0" applyFill="true" applyBorder="true" applyFont="true">
      <alignment wrapText="true" vertical="center" horizontal="center"/>
      <protection locked="true"/>
    </xf>
    <xf numFmtId="0" fontId="4" fillId="3" borderId="4" xfId="0" applyFill="true" applyBorder="true" applyFont="true">
      <alignment wrapText="true" vertical="center" horizontal="center"/>
      <protection locked="true"/>
    </xf>
    <xf numFmtId="0" fontId="4" fillId="4" borderId="4" xfId="0" applyFill="true" applyBorder="true" applyFont="true">
      <alignment wrapText="true" vertical="center" horizontal="center"/>
      <protection locked="true"/>
    </xf>
    <xf numFmtId="0" fontId="5" fillId="3" borderId="4" xfId="0" applyFill="true" applyBorder="true" applyFont="true">
      <alignment wrapText="true" vertical="center" horizontal="center"/>
      <protection locked="true"/>
    </xf>
    <xf numFmtId="0" fontId="5" fillId="4" borderId="4" xfId="0" applyFill="true" applyBorder="true" applyFont="true">
      <alignment wrapText="true" vertical="center" horizontal="center"/>
      <protection locked="true"/>
    </xf>
    <xf numFmtId="0" fontId="6" fillId="3" borderId="4" xfId="0" applyFill="true" applyBorder="true" applyFont="true">
      <alignment wrapText="true" vertical="center" horizontal="center"/>
      <protection locked="true"/>
    </xf>
    <xf numFmtId="0" fontId="6" fillId="4" borderId="4" xfId="0" applyFill="true" applyBorder="true" applyFont="true">
      <alignment wrapText="true" vertical="center" horizontal="center"/>
      <protection locked="true"/>
    </xf>
    <xf numFmtId="0" fontId="7" fillId="3" borderId="4" xfId="0" applyFill="true" applyBorder="true" applyFont="true">
      <alignment wrapText="true" vertical="center" horizontal="center"/>
      <protection locked="true"/>
    </xf>
    <xf numFmtId="0" fontId="7" fillId="4" borderId="4" xfId="0" applyFill="true" applyBorder="true" applyFont="true">
      <alignment wrapText="true" vertical="center" horizontal="center"/>
      <protection locked="true"/>
    </xf>
    <xf numFmtId="0" fontId="8" fillId="3" borderId="4" xfId="0" applyFill="true" applyBorder="true" applyFont="true">
      <alignment wrapText="true" vertical="center" horizontal="center"/>
      <protection locked="true"/>
    </xf>
    <xf numFmtId="0" fontId="8" fillId="4" borderId="4" xfId="0" applyFill="true" applyBorder="true" applyFont="true">
      <alignment wrapText="true" vertical="center" horizontal="center"/>
      <protection locked="true"/>
    </xf>
    <xf numFmtId="0" fontId="9" fillId="3" borderId="4" xfId="0" applyFill="true" applyBorder="true" applyFont="true">
      <alignment wrapText="true" vertical="center" horizontal="center"/>
      <protection locked="true"/>
    </xf>
    <xf numFmtId="0" fontId="9" fillId="5" borderId="4" xfId="0" applyFill="true" applyBorder="true" applyFont="true">
      <alignment wrapText="true" vertical="center" horizontal="center"/>
      <protection locked="true"/>
    </xf>
    <xf numFmtId="0" fontId="10" fillId="3" borderId="4" xfId="0" applyFill="true" applyBorder="true" applyFont="true">
      <alignment wrapText="true" vertical="center" horizontal="center"/>
      <protection locked="true"/>
    </xf>
    <xf numFmtId="0" fontId="10" fillId="5" borderId="4" xfId="0" applyFill="true" applyBorder="true" applyFont="true">
      <alignment wrapText="true" vertical="center" horizontal="center"/>
      <protection locked="true"/>
    </xf>
    <xf numFmtId="0" fontId="11" fillId="3" borderId="4" xfId="0" applyFill="true" applyBorder="true" applyFont="true">
      <alignment wrapText="true" vertical="center" horizontal="center"/>
      <protection locked="true"/>
    </xf>
    <xf numFmtId="0" fontId="11" fillId="5" borderId="4" xfId="0" applyFill="true" applyBorder="true" applyFont="true">
      <alignment wrapText="true" vertical="center" horizontal="center"/>
      <protection locked="true"/>
    </xf>
    <xf numFmtId="0" fontId="12" fillId="3" borderId="4" xfId="0" applyFill="true" applyBorder="true" applyFont="true">
      <alignment wrapText="true" vertical="center" horizontal="center"/>
      <protection locked="true"/>
    </xf>
    <xf numFmtId="0" fontId="12" fillId="5" borderId="4" xfId="0" applyFill="true" applyBorder="true" applyFont="true">
      <alignment wrapText="true" vertical="center" horizontal="center"/>
      <protection locked="true"/>
    </xf>
    <xf numFmtId="0" fontId="13" fillId="3" borderId="4" xfId="0" applyFill="true" applyBorder="true" applyFont="true">
      <alignment wrapText="true" vertical="center" horizontal="center"/>
      <protection locked="true"/>
    </xf>
    <xf numFmtId="0" fontId="13" fillId="5" borderId="4" xfId="0" applyFill="true" applyBorder="true" applyFont="true">
      <alignment wrapText="true" vertical="center" horizontal="center"/>
      <protection locked="true"/>
    </xf>
    <xf numFmtId="0" fontId="14" fillId="3" borderId="4" xfId="0" applyFill="true" applyBorder="true" applyFont="true">
      <alignment wrapText="true" vertical="center" horizontal="center"/>
      <protection locked="true"/>
    </xf>
    <xf numFmtId="0" fontId="14" fillId="5" borderId="4" xfId="0" applyFill="true" applyBorder="true" applyFont="true">
      <alignment wrapText="true" vertical="center" horizontal="center"/>
      <protection locked="true"/>
    </xf>
    <xf numFmtId="0" fontId="15" fillId="3" borderId="4" xfId="0" applyFill="true" applyBorder="true" applyFont="true">
      <alignment wrapText="true" vertical="center" horizontal="center"/>
      <protection locked="true"/>
    </xf>
    <xf numFmtId="0" fontId="15" fillId="6" borderId="4" xfId="0" applyFill="true" applyBorder="true" applyFont="true">
      <alignment wrapText="true" vertical="center" horizontal="center"/>
      <protection locked="true"/>
    </xf>
    <xf numFmtId="0" fontId="16" fillId="3" borderId="4" xfId="0" applyFill="true" applyBorder="true" applyFont="true">
      <alignment wrapText="true" vertical="center" horizontal="center"/>
      <protection locked="true"/>
    </xf>
    <xf numFmtId="0" fontId="16" fillId="6" borderId="4" xfId="0" applyFill="true" applyBorder="true" applyFont="true">
      <alignment wrapText="true" vertical="center" horizontal="center"/>
      <protection locked="true"/>
    </xf>
    <xf numFmtId="0" fontId="17" fillId="3" borderId="4" xfId="0" applyFill="true" applyBorder="true" applyFont="true">
      <alignment wrapText="true" vertical="center" horizontal="center"/>
      <protection locked="true"/>
    </xf>
    <xf numFmtId="0" fontId="17" fillId="6" borderId="4" xfId="0" applyFill="true" applyBorder="true" applyFont="true">
      <alignment wrapText="true" vertical="center" horizontal="center"/>
      <protection locked="true"/>
    </xf>
    <xf numFmtId="0" fontId="18" fillId="3" borderId="4" xfId="0" applyFill="true" applyBorder="true" applyFont="true">
      <alignment wrapText="true" vertical="center" horizontal="center"/>
      <protection locked="true"/>
    </xf>
    <xf numFmtId="0" fontId="18" fillId="6" borderId="4" xfId="0" applyFill="true" applyBorder="true" applyFont="true">
      <alignment wrapText="true" vertical="center" horizontal="center"/>
      <protection locked="true"/>
    </xf>
    <xf numFmtId="0" fontId="19" fillId="3" borderId="4" xfId="0" applyFill="true" applyBorder="true" applyFont="true">
      <alignment wrapText="true" vertical="center" horizontal="center"/>
      <protection locked="true"/>
    </xf>
    <xf numFmtId="0" fontId="19" fillId="6" borderId="4" xfId="0" applyFill="true" applyBorder="true" applyFont="true">
      <alignment wrapText="true" vertical="center" horizontal="center"/>
      <protection locked="true"/>
    </xf>
    <xf numFmtId="0" fontId="20" fillId="3" borderId="4" xfId="0" applyFill="true" applyBorder="true" applyFont="true">
      <alignment wrapText="true" vertical="center" horizontal="center"/>
      <protection locked="true"/>
    </xf>
    <xf numFmtId="0" fontId="20" fillId="7" borderId="4" xfId="0" applyFill="true" applyBorder="true" applyFont="true">
      <alignment wrapText="true" vertical="center" horizontal="center"/>
      <protection locked="true"/>
    </xf>
    <xf numFmtId="0" fontId="21" fillId="3" borderId="4" xfId="0" applyFill="true" applyBorder="true" applyFont="true">
      <alignment wrapText="true" vertical="center" horizontal="center"/>
      <protection locked="true"/>
    </xf>
    <xf numFmtId="0" fontId="21" fillId="7" borderId="4" xfId="0" applyFill="true" applyBorder="true" applyFont="true">
      <alignment wrapText="true" vertical="center" horizontal="center"/>
      <protection locked="true"/>
    </xf>
    <xf numFmtId="0" fontId="22" fillId="3" borderId="4" xfId="0" applyFill="true" applyBorder="true" applyFont="true">
      <alignment wrapText="true" vertical="center" horizontal="center"/>
      <protection locked="true"/>
    </xf>
    <xf numFmtId="0" fontId="22" fillId="7" borderId="4" xfId="0" applyFill="true" applyBorder="true" applyFont="true">
      <alignment wrapText="true" vertical="center" horizontal="center"/>
      <protection locked="true"/>
    </xf>
    <xf numFmtId="0" fontId="23" fillId="3" borderId="4" xfId="0" applyFill="true" applyBorder="true" applyFont="true">
      <alignment wrapText="true" vertical="center" horizontal="center"/>
      <protection locked="true"/>
    </xf>
    <xf numFmtId="0" fontId="23" fillId="7" borderId="4" xfId="0" applyFill="true" applyBorder="true" applyFont="true">
      <alignment wrapText="true" vertical="center" horizontal="center"/>
      <protection locked="true"/>
    </xf>
    <xf numFmtId="0" fontId="24" fillId="3" borderId="4" xfId="0" applyFill="true" applyBorder="true" applyFont="true">
      <alignment wrapText="true" vertical="center" horizontal="center"/>
      <protection locked="true"/>
    </xf>
    <xf numFmtId="0" fontId="24" fillId="7" borderId="4" xfId="0" applyFill="true" applyBorder="true" applyFont="true">
      <alignment wrapText="true" vertical="center" horizontal="center"/>
      <protection locked="true"/>
    </xf>
    <xf numFmtId="0" fontId="25" fillId="3" borderId="4" xfId="0" applyFill="true" applyBorder="true" applyFont="true">
      <alignment wrapText="true" vertical="center" horizontal="center"/>
      <protection locked="true"/>
    </xf>
    <xf numFmtId="0" fontId="25" fillId="4" borderId="4" xfId="0" applyFill="true" applyBorder="true" applyFont="true">
      <alignment wrapText="true" vertical="center" horizontal="center"/>
      <protection locked="true"/>
    </xf>
    <xf numFmtId="0" fontId="26" fillId="3" borderId="4" xfId="0" applyFill="true" applyBorder="true" applyFont="true">
      <alignment wrapText="true" vertical="center" horizontal="center"/>
      <protection locked="true"/>
    </xf>
    <xf numFmtId="0" fontId="26" fillId="4" borderId="4" xfId="0" applyFill="true" applyBorder="true" applyFont="true">
      <alignment wrapText="true" vertical="center" horizontal="center"/>
      <protection locked="true"/>
    </xf>
    <xf numFmtId="0" fontId="27" fillId="3" borderId="4" xfId="0" applyFill="true" applyBorder="true" applyFont="true">
      <alignment wrapText="true" vertical="center" horizontal="center"/>
      <protection locked="true"/>
    </xf>
    <xf numFmtId="0" fontId="27" fillId="4" borderId="4" xfId="0" applyFill="true" applyBorder="true" applyFont="true">
      <alignment wrapText="true" vertical="center" horizontal="center"/>
      <protection locked="true"/>
    </xf>
    <xf numFmtId="0" fontId="28" fillId="3" borderId="4" xfId="0" applyFill="true" applyBorder="true" applyFont="true">
      <alignment wrapText="true" vertical="center" horizontal="center"/>
      <protection locked="true"/>
    </xf>
    <xf numFmtId="0" fontId="28" fillId="8" borderId="4" xfId="0" applyFill="true" applyBorder="true" applyFont="true">
      <alignment wrapText="true" vertical="center" horizontal="center"/>
      <protection locked="true"/>
    </xf>
    <xf numFmtId="0" fontId="29" fillId="3" borderId="4" xfId="0" applyFill="true" applyBorder="true" applyFont="true">
      <alignment wrapText="true" vertical="center" horizontal="center"/>
      <protection locked="true"/>
    </xf>
    <xf numFmtId="0" fontId="29" fillId="8" borderId="4" xfId="0" applyFill="true" applyBorder="true" applyFont="true">
      <alignment wrapText="true" vertical="center" horizontal="center"/>
      <protection locked="true"/>
    </xf>
    <xf numFmtId="0" fontId="30" fillId="3" borderId="4" xfId="0" applyFill="true" applyBorder="true" applyFont="true">
      <alignment wrapText="true" vertical="center" horizontal="center"/>
      <protection locked="true"/>
    </xf>
    <xf numFmtId="0" fontId="30" fillId="8" borderId="4" xfId="0" applyFill="true" applyBorder="true" applyFont="true">
      <alignment wrapText="true" vertical="center" horizontal="center"/>
      <protection locked="true"/>
    </xf>
    <xf numFmtId="0" fontId="31" fillId="3" borderId="4" xfId="0" applyFill="true" applyBorder="true" applyFont="true">
      <alignment wrapText="true" vertical="center" horizontal="center"/>
      <protection locked="true"/>
    </xf>
    <xf numFmtId="0" fontId="31" fillId="5" borderId="4" xfId="0" applyFill="true" applyBorder="true" applyFont="true">
      <alignment wrapText="true" vertical="center" horizontal="center"/>
      <protection locked="true"/>
    </xf>
    <xf numFmtId="0" fontId="32" fillId="3" borderId="4" xfId="0" applyFill="true" applyBorder="true" applyFont="true">
      <alignment wrapText="true" vertical="center" horizontal="center"/>
      <protection locked="true"/>
    </xf>
    <xf numFmtId="0" fontId="32" fillId="5" borderId="4" xfId="0" applyFill="true" applyBorder="true" applyFont="true">
      <alignment wrapText="true" vertical="center" horizontal="center"/>
      <protection locked="true"/>
    </xf>
    <xf numFmtId="0" fontId="33" fillId="3" borderId="4" xfId="0" applyFill="true" applyBorder="true" applyFont="true">
      <alignment wrapText="true" vertical="center" horizontal="center"/>
      <protection locked="true"/>
    </xf>
    <xf numFmtId="0" fontId="33" fillId="5" borderId="4" xfId="0" applyFill="true" applyBorder="true" applyFont="true">
      <alignment wrapText="true" vertical="center" horizontal="center"/>
      <protection locked="true"/>
    </xf>
    <xf numFmtId="0" fontId="34" fillId="3" borderId="4" xfId="0" applyFill="true" applyBorder="true" applyFont="true">
      <alignment wrapText="true" vertical="center" horizontal="center"/>
      <protection locked="true"/>
    </xf>
    <xf numFmtId="0" fontId="34" fillId="5" borderId="4" xfId="0" applyFill="true" applyBorder="true" applyFont="true">
      <alignment wrapText="true" vertical="center" horizontal="center"/>
      <protection locked="true"/>
    </xf>
    <xf numFmtId="0" fontId="35" fillId="3" borderId="4" xfId="0" applyFill="true" applyBorder="true" applyFont="true">
      <alignment wrapText="true" vertical="center" horizontal="center"/>
      <protection locked="true"/>
    </xf>
    <xf numFmtId="0" fontId="35" fillId="5" borderId="4" xfId="0" applyFill="true" applyBorder="true" applyFont="true">
      <alignment wrapText="true" vertical="center" horizontal="center"/>
      <protection locked="true"/>
    </xf>
    <xf numFmtId="0" fontId="36" fillId="3" borderId="4" xfId="0" applyFont="true" applyBorder="true" applyFill="true">
      <alignment horizontal="center"/>
    </xf>
    <xf numFmtId="0" fontId="36" fillId="9" borderId="4" xfId="0" applyFont="true" applyBorder="true" applyFill="true">
      <alignment horizontal="center"/>
    </xf>
    <xf numFmtId="0" fontId="37" fillId="3" borderId="4" xfId="0" applyFont="true" applyBorder="true" applyFill="true">
      <alignment horizontal="center"/>
    </xf>
    <xf numFmtId="0" fontId="37" fillId="9" borderId="4" xfId="0" applyFont="true" applyBorder="true" applyFill="true">
      <alignment horizontal="center"/>
    </xf>
    <xf numFmtId="0" fontId="38" fillId="3" borderId="4" xfId="0" applyFont="true" applyBorder="true" applyFill="true">
      <alignment horizontal="center"/>
    </xf>
    <xf numFmtId="0" fontId="38" fillId="9" borderId="4" xfId="0" applyFont="true" applyBorder="true" applyFill="true">
      <alignment horizontal="center"/>
    </xf>
    <xf numFmtId="0" fontId="39" fillId="3" borderId="4" xfId="0" applyFont="true" applyBorder="true" applyFill="true">
      <alignment horizontal="center"/>
    </xf>
    <xf numFmtId="0" fontId="39" fillId="9" borderId="4" xfId="0" applyFont="true" applyBorder="true" applyFill="true">
      <alignment horizontal="center"/>
    </xf>
    <xf numFmtId="0" fontId="40" fillId="3" borderId="4" xfId="0" applyFont="true" applyBorder="true" applyFill="true">
      <alignment horizontal="center"/>
    </xf>
    <xf numFmtId="0" fontId="40" fillId="9" borderId="4" xfId="0" applyFont="true" applyBorder="true" applyFill="true">
      <alignment horizontal="center"/>
    </xf>
    <xf numFmtId="0" fontId="41" fillId="3" borderId="4" xfId="0" applyFont="true" applyBorder="true" applyFill="true">
      <alignment horizontal="center"/>
    </xf>
    <xf numFmtId="0" fontId="41" fillId="9" borderId="4" xfId="0" applyFont="true" applyBorder="true" applyFill="true">
      <alignment horizontal="center"/>
    </xf>
    <xf numFmtId="0" fontId="42" fillId="3" borderId="4" xfId="0" applyFont="true" applyBorder="true" applyFill="true">
      <alignment horizontal="center"/>
    </xf>
    <xf numFmtId="0" fontId="42" fillId="9" borderId="4" xfId="0" applyFont="true" applyBorder="true" applyFill="true">
      <alignment horizontal="center"/>
    </xf>
    <xf numFmtId="0" fontId="43" fillId="3" borderId="4" xfId="0" applyFont="true" applyBorder="true" applyFill="true">
      <alignment horizontal="center"/>
    </xf>
    <xf numFmtId="0" fontId="43" fillId="9" borderId="4" xfId="0" applyFont="true" applyBorder="true" applyFill="true">
      <alignment horizontal="center"/>
    </xf>
    <xf numFmtId="2" fontId="44" fillId="3" borderId="4" xfId="0" applyFont="true" applyBorder="true" applyFill="true" applyNumberFormat="true">
      <alignment horizontal="center"/>
    </xf>
    <xf numFmtId="2" fontId="44" fillId="9" borderId="4" xfId="0" applyFont="true" applyBorder="true" applyFill="true" applyNumberFormat="true">
      <alignment horizontal="center"/>
    </xf>
    <xf numFmtId="2" fontId="45" fillId="3" borderId="4" xfId="0" applyFont="true" applyBorder="true" applyFill="true" applyNumberFormat="true">
      <alignment horizontal="center"/>
    </xf>
    <xf numFmtId="2" fontId="45" fillId="9" borderId="4" xfId="0" applyFont="true" applyBorder="true" applyFill="true" applyNumberFormat="true">
      <alignment horizontal="center"/>
    </xf>
    <xf numFmtId="2" fontId="46" fillId="3" borderId="4" xfId="0" applyFont="true" applyBorder="true" applyFill="true" applyNumberFormat="true">
      <alignment horizontal="center"/>
    </xf>
    <xf numFmtId="2" fontId="46" fillId="9" borderId="4" xfId="0" applyFont="true" applyBorder="true" applyFill="true" applyNumberFormat="true">
      <alignment horizontal="center"/>
    </xf>
    <xf numFmtId="2" fontId="47" fillId="3" borderId="4" xfId="0" applyFont="true" applyBorder="true" applyFill="true" applyNumberFormat="true">
      <alignment horizontal="center"/>
    </xf>
    <xf numFmtId="2" fontId="47" fillId="9" borderId="4" xfId="0" applyFont="true" applyBorder="true" applyFill="true" applyNumberFormat="true">
      <alignment horizontal="center"/>
    </xf>
    <xf numFmtId="2" fontId="48" fillId="3" borderId="4" xfId="0" applyFont="true" applyBorder="true" applyFill="true" applyNumberFormat="true">
      <alignment horizontal="center"/>
    </xf>
    <xf numFmtId="2" fontId="48" fillId="9" borderId="4" xfId="0" applyFont="true" applyBorder="true" applyFill="true" applyNumberFormat="true">
      <alignment horizontal="center"/>
    </xf>
    <xf numFmtId="2" fontId="49" fillId="3" borderId="4" xfId="0" applyFont="true" applyBorder="true" applyFill="true" applyNumberFormat="true">
      <alignment horizontal="center"/>
    </xf>
    <xf numFmtId="2" fontId="49" fillId="9" borderId="4" xfId="0" applyFont="true" applyBorder="true" applyFill="true" applyNumberFormat="true">
      <alignment horizontal="center"/>
    </xf>
    <xf numFmtId="0" fontId="50" fillId="6" borderId="4" xfId="0" applyFont="true" applyBorder="true" applyFill="true">
      <alignment horizontal="center"/>
    </xf>
    <xf numFmtId="0" fontId="50" fillId="6" borderId="4" xfId="0" applyFont="true" applyBorder="true" applyFill="true">
      <alignment horizontal="center"/>
    </xf>
    <xf numFmtId="2" fontId="51" fillId="6" borderId="4" xfId="0" applyFont="true" applyBorder="true" applyFill="true" applyNumberFormat="true">
      <alignment horizontal="center"/>
    </xf>
    <xf numFmtId="2" fontId="51" fillId="6" borderId="4" xfId="0" applyFont="true" applyBorder="true" applyFill="true" applyNumberFormat="true">
      <alignment horizontal="center"/>
    </xf>
    <xf numFmtId="2" fontId="52" fillId="6" borderId="4" xfId="0" applyFont="true" applyBorder="true" applyFill="true" applyNumberFormat="true">
      <alignment horizontal="center"/>
    </xf>
    <xf numFmtId="2" fontId="52" fillId="6" borderId="4" xfId="0" applyFont="true" applyBorder="true" applyFill="true" applyNumberFormat="true">
      <alignment horizontal="center"/>
    </xf>
    <xf numFmtId="2" fontId="53" fillId="6" borderId="4" xfId="0" applyFont="true" applyBorder="true" applyFill="true" applyNumberFormat="true">
      <alignment horizontal="center"/>
    </xf>
    <xf numFmtId="2" fontId="53" fillId="6" borderId="4" xfId="0" applyFont="true" applyBorder="true" applyFill="true" applyNumberFormat="true">
      <alignment horizontal="center"/>
    </xf>
    <xf numFmtId="2" fontId="54" fillId="6" borderId="4" xfId="0" applyFont="true" applyBorder="true" applyFill="true" applyNumberFormat="true">
      <alignment horizontal="center"/>
    </xf>
    <xf numFmtId="2" fontId="54" fillId="6" borderId="4" xfId="0" applyFont="true" applyBorder="true" applyFill="true" applyNumberFormat="true">
      <alignment horizontal="center"/>
    </xf>
    <xf numFmtId="0" fontId="55" fillId="7" borderId="4" xfId="0" applyFont="true" applyBorder="true" applyFill="true">
      <alignment horizontal="center"/>
    </xf>
    <xf numFmtId="0" fontId="55" fillId="7" borderId="4" xfId="0" applyFont="true" applyBorder="true" applyFill="true">
      <alignment horizontal="center"/>
    </xf>
    <xf numFmtId="2" fontId="56" fillId="7" borderId="4" xfId="0" applyFont="true" applyBorder="true" applyFill="true" applyNumberFormat="true">
      <alignment horizontal="center"/>
    </xf>
    <xf numFmtId="2" fontId="56" fillId="7" borderId="4" xfId="0" applyFont="true" applyBorder="true" applyFill="true" applyNumberFormat="true">
      <alignment horizontal="center"/>
    </xf>
    <xf numFmtId="2" fontId="57" fillId="7" borderId="4" xfId="0" applyFont="true" applyBorder="true" applyFill="true" applyNumberFormat="true">
      <alignment horizontal="center"/>
    </xf>
    <xf numFmtId="2" fontId="57" fillId="7" borderId="4" xfId="0" applyFont="true" applyBorder="true" applyFill="true" applyNumberFormat="true">
      <alignment horizontal="center"/>
    </xf>
    <xf numFmtId="2" fontId="58" fillId="7" borderId="4" xfId="0" applyFont="true" applyBorder="true" applyFill="true" applyNumberFormat="true">
      <alignment horizontal="center"/>
    </xf>
    <xf numFmtId="2" fontId="58" fillId="7" borderId="4" xfId="0" applyFont="true" applyBorder="true" applyFill="true" applyNumberFormat="true">
      <alignment horizontal="center"/>
    </xf>
    <xf numFmtId="2" fontId="59" fillId="7" borderId="4" xfId="0" applyFont="true" applyBorder="true" applyFill="true" applyNumberFormat="true">
      <alignment horizontal="center"/>
    </xf>
    <xf numFmtId="2" fontId="59" fillId="7" borderId="4" xfId="0" applyFont="true" applyBorder="true" applyFill="true" applyNumberFormat="true">
      <alignment horizontal="center"/>
    </xf>
    <xf numFmtId="2" fontId="60" fillId="3" borderId="4" xfId="0" applyFont="true" applyBorder="true" applyFill="true" applyNumberFormat="true">
      <alignment horizontal="center"/>
    </xf>
    <xf numFmtId="2" fontId="60" fillId="9" borderId="4" xfId="0" applyFont="true" applyBorder="true" applyFill="true" applyNumberFormat="true">
      <alignment horizontal="center"/>
    </xf>
    <xf numFmtId="2" fontId="61" fillId="3" borderId="4" xfId="0" applyFont="true" applyBorder="true" applyFill="true" applyNumberFormat="true">
      <alignment horizontal="center"/>
    </xf>
    <xf numFmtId="2" fontId="61" fillId="9" borderId="4" xfId="0" applyFont="true" applyBorder="true" applyFill="true" applyNumberFormat="true">
      <alignment horizontal="center"/>
    </xf>
    <xf numFmtId="2" fontId="62" fillId="3" borderId="4" xfId="0" applyFont="true" applyBorder="true" applyFill="true" applyNumberFormat="true">
      <alignment horizontal="center"/>
    </xf>
    <xf numFmtId="2" fontId="62" fillId="9" borderId="4" xfId="0" applyFont="true" applyBorder="true" applyFill="true" applyNumberFormat="true">
      <alignment horizontal="center"/>
    </xf>
    <xf numFmtId="2" fontId="63" fillId="3" borderId="4" xfId="0" applyFont="true" applyBorder="true" applyFill="true" applyNumberFormat="true">
      <alignment horizontal="center"/>
    </xf>
    <xf numFmtId="2" fontId="63" fillId="9" borderId="4" xfId="0" applyFont="true" applyBorder="true" applyFill="true" applyNumberFormat="true">
      <alignment horizontal="center"/>
    </xf>
    <xf numFmtId="2" fontId="64" fillId="3" borderId="4" xfId="0" applyFont="true" applyBorder="true" applyFill="true" applyNumberFormat="true">
      <alignment horizontal="center"/>
    </xf>
    <xf numFmtId="2" fontId="64" fillId="9" borderId="4" xfId="0" applyFont="true" applyBorder="true" applyFill="true" applyNumberFormat="true">
      <alignment horizontal="center"/>
    </xf>
    <xf numFmtId="2" fontId="65" fillId="3" borderId="4" xfId="0" applyFont="true" applyBorder="true" applyFill="true" applyNumberFormat="true">
      <alignment horizontal="center"/>
    </xf>
    <xf numFmtId="2" fontId="65" fillId="9" borderId="4" xfId="0" applyFont="true" applyBorder="true" applyFill="true" applyNumberFormat="true">
      <alignment horizontal="center"/>
    </xf>
    <xf numFmtId="0" fontId="66" fillId="3" borderId="4" xfId="0" applyFont="true" applyBorder="true" applyFill="true">
      <alignment horizontal="center"/>
    </xf>
    <xf numFmtId="0" fontId="66" fillId="9" borderId="4" xfId="0" applyFont="true" applyBorder="true" applyFill="true">
      <alignment horizontal="center"/>
    </xf>
    <xf numFmtId="0" fontId="67" fillId="3" borderId="4" xfId="0" applyFont="true" applyBorder="true" applyFill="true">
      <alignment horizontal="center"/>
    </xf>
    <xf numFmtId="0" fontId="67" fillId="9" borderId="4" xfId="0" applyFont="true" applyBorder="true" applyFill="true">
      <alignment horizontal="center"/>
    </xf>
    <xf numFmtId="0" fontId="68" fillId="3" borderId="4" xfId="0" applyFont="true" applyBorder="true" applyFill="true">
      <alignment horizontal="center"/>
    </xf>
    <xf numFmtId="0" fontId="68" fillId="9" borderId="4" xfId="0" applyFont="true" applyBorder="true" applyFill="true">
      <alignment horizontal="center"/>
    </xf>
    <xf numFmtId="0" fontId="69" fillId="3" borderId="4" xfId="0" applyFont="true" applyBorder="true" applyFill="true">
      <alignment horizontal="center"/>
    </xf>
    <xf numFmtId="0" fontId="69" fillId="9" borderId="4" xfId="0" applyFont="true" applyBorder="true" applyFill="true">
      <alignment horizontal="center"/>
    </xf>
    <xf numFmtId="0" fontId="70" fillId="3" borderId="4" xfId="0" applyFont="true" applyBorder="true" applyFill="true">
      <alignment horizontal="center"/>
    </xf>
    <xf numFmtId="0" fontId="70" fillId="9" borderId="4" xfId="0" applyFont="true" applyBorder="true" applyFill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1.0" state="frozen" topLeftCell="C2" activePane="bottomRight"/>
      <selection pane="bottomRight"/>
    </sheetView>
  </sheetViews>
  <sheetFormatPr defaultRowHeight="15.0"/>
  <cols>
    <col min="1" max="1" width="18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25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25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5.0" customWidth="true"/>
    <col min="32" max="32" width="0.0" customWidth="true"/>
    <col min="33" max="33" width="0.0" customWidth="true"/>
    <col min="34" max="34" width="0.0" customWidth="true"/>
    <col min="35" max="35" width="0.0" customWidth="true"/>
  </cols>
  <sheetData>
    <row r="1">
      <c r="A1" s="2" t="inlineStr">
        <is>
          <t>ÜRÜN İSMİ</t>
        </is>
      </c>
      <c r="B1" s="4" t="inlineStr">
        <is>
          <t>BARKOD</t>
        </is>
      </c>
      <c r="C1" s="6" t="inlineStr">
        <is>
          <t>SATICI STOK KODU</t>
        </is>
      </c>
      <c r="D1" s="8" t="inlineStr">
        <is>
          <t>BEDEN</t>
        </is>
      </c>
      <c r="E1" s="10" t="inlineStr">
        <is>
          <t>MODEL KODU</t>
        </is>
      </c>
      <c r="F1" s="12" t="inlineStr">
        <is>
          <t>KATEGORİ</t>
        </is>
      </c>
      <c r="G1" s="14" t="inlineStr">
        <is>
          <t>MARKA</t>
        </is>
      </c>
      <c r="H1" s="16" t="inlineStr">
        <is>
          <t>STOK</t>
        </is>
      </c>
      <c r="I1" s="18" t="inlineStr">
        <is>
          <t>1.Fiyat Alt Limit</t>
        </is>
      </c>
      <c r="J1" s="20" t="inlineStr">
        <is>
          <t>2.Fiyat Üst Limiti</t>
        </is>
      </c>
      <c r="K1" s="22" t="inlineStr">
        <is>
          <t>2.Fiyat Alt Limit</t>
        </is>
      </c>
      <c r="L1" s="24" t="inlineStr">
        <is>
          <t>3.Fiyat Üst Limiti</t>
        </is>
      </c>
      <c r="M1" s="26" t="inlineStr">
        <is>
          <t>3.Fiyat Alt Limit</t>
        </is>
      </c>
      <c r="N1" s="28" t="inlineStr">
        <is>
          <t>4.Fiyat Üst Limiti</t>
        </is>
      </c>
      <c r="O1" s="30" t="inlineStr">
        <is>
          <t>Tarih aralığı (3 Gün)</t>
        </is>
      </c>
      <c r="P1" s="32" t="inlineStr">
        <is>
          <t>1.KOMİSYON</t>
        </is>
      </c>
      <c r="Q1" s="34" t="inlineStr">
        <is>
          <t>2.KOMİSYON</t>
        </is>
      </c>
      <c r="R1" s="36" t="inlineStr">
        <is>
          <t>3.KOMİSYON</t>
        </is>
      </c>
      <c r="S1" s="38" t="inlineStr">
        <is>
          <t>4.KOMİSYON</t>
        </is>
      </c>
      <c r="T1" s="40" t="inlineStr">
        <is>
          <t>Tarih aralığı (4 Gün)</t>
        </is>
      </c>
      <c r="U1" s="42" t="inlineStr">
        <is>
          <t>1.KOMİSYON</t>
        </is>
      </c>
      <c r="V1" s="44" t="inlineStr">
        <is>
          <t>2.KOMİSYON</t>
        </is>
      </c>
      <c r="W1" s="46" t="inlineStr">
        <is>
          <t>3.KOMİSYON</t>
        </is>
      </c>
      <c r="X1" s="48" t="inlineStr">
        <is>
          <t>4.KOMİSYON</t>
        </is>
      </c>
      <c r="Y1" s="50" t="inlineStr">
        <is>
          <t>KOMİSYONA ESAS FİYAT</t>
        </is>
      </c>
      <c r="Z1" s="52" t="inlineStr">
        <is>
          <t>GÜNCEL KOMİSYON</t>
        </is>
      </c>
      <c r="AA1" s="54" t="inlineStr">
        <is>
          <t>GÜNCEL TSF</t>
        </is>
      </c>
      <c r="AB1" s="56" t="inlineStr">
        <is>
          <t>YENİ TSF (FİYAT GÜNCELLE)</t>
        </is>
      </c>
      <c r="AC1" s="58" t="inlineStr">
        <is>
          <t>Hesaplanan Komisyon (3 Gün)</t>
        </is>
      </c>
      <c r="AD1" s="60" t="inlineStr">
        <is>
          <t>Hesaplanan Komisyon (4 Gün)</t>
        </is>
      </c>
      <c r="AE1" s="62" t="inlineStr">
        <is>
          <t>Tarife Seçimi</t>
        </is>
      </c>
      <c r="AF1" s="64" t="inlineStr">
        <is>
          <t>FIRST EXTERNAL ID</t>
        </is>
      </c>
      <c r="AG1" s="66" t="inlineStr">
        <is>
          <t>SECOND EXTERNAL ID</t>
        </is>
      </c>
      <c r="AH1" s="68" t="inlineStr">
        <is>
          <t>FULL EXTERNAL ID</t>
        </is>
      </c>
      <c r="AI1" s="70" t="inlineStr">
        <is>
          <t>TARİFE GRUBU</t>
        </is>
      </c>
    </row>
    <row r="2">
      <c r="A2" s="72" t="inlineStr">
        <is>
          <t>200x300 Cm Kumaş Türk Bayrağı</t>
        </is>
      </c>
      <c r="B2" s="74" t="inlineStr">
        <is>
          <t>TB200X300A</t>
        </is>
      </c>
      <c r="C2" s="76" t="inlineStr">
        <is>
          <t/>
        </is>
      </c>
      <c r="D2" s="78"/>
      <c r="E2" s="80" t="inlineStr">
        <is>
          <t>TB200X300A</t>
        </is>
      </c>
      <c r="F2" s="82" t="inlineStr">
        <is>
          <t>Bayrak</t>
        </is>
      </c>
      <c r="G2" s="84" t="inlineStr">
        <is>
          <t>Alpaka</t>
        </is>
      </c>
      <c r="H2" s="86" t="n">
        <v>875.0</v>
      </c>
      <c r="I2" s="88" t="n">
        <v>777.1</v>
      </c>
      <c r="J2" s="90" t="n">
        <v>777.09</v>
      </c>
      <c r="K2" s="92" t="n">
        <v>753.24</v>
      </c>
      <c r="L2" s="94" t="n">
        <v>753.23</v>
      </c>
      <c r="M2" s="96" t="n">
        <v>720.78</v>
      </c>
      <c r="N2" s="98" t="n">
        <v>720.77</v>
      </c>
      <c r="O2" s="100"/>
      <c r="P2" s="102"/>
      <c r="Q2" s="104"/>
      <c r="R2" s="106"/>
      <c r="S2" s="108"/>
      <c r="T2" s="110" t="inlineStr">
        <is>
          <t>26 Haziran 08.00-30 Haziran 07.59</t>
        </is>
      </c>
      <c r="U2" s="112" t="n">
        <v>19.0</v>
      </c>
      <c r="V2" s="114" t="n">
        <v>13.1</v>
      </c>
      <c r="W2" s="116" t="n">
        <v>12.1</v>
      </c>
      <c r="X2" s="118" t="n">
        <v>10.6</v>
      </c>
      <c r="Y2" s="120" t="n">
        <v>852.0</v>
      </c>
      <c r="Z2" s="122" t="n">
        <v>19.0</v>
      </c>
      <c r="AA2" s="124" t="n">
        <v>852.0</v>
      </c>
      <c r="AB2" s="126"/>
      <c r="AC2" s="128">
        <f>IF(OR(AB2="",AE2=""),"-",IF(OR(ISNUMBER(SEARCH("3 Günlük",AE2)),ISNUMBER(SEARCH("7 Günlük",AE2)),ISNUMBER(SEARCH("Trendyol Satış Fiyatı",AE2))),IF(AB2&gt;=I2,IF(ISBLANK(P2),"-",P2),IF(AND(AB2&gt;=K2,AB2&lt;=J2),IF(ISBLANK(Q2),"-",Q2),IF(AND(AB2&gt;=M2,AB2&lt;=L2),IF(ISBLANK(R2),"-",R2),IF(AB2&lt;=N2,IF(ISBLANK(S2),"-",S2),"-")))),"-"))</f>
        <v>0.0</v>
      </c>
      <c r="AD2" s="130">
        <f>IF(OR(AB2="",AE2=""),"-",IF(OR(ISNUMBER(SEARCH("4 Günlük",AE2)),ISNUMBER(SEARCH("7 Günlük",AE2)),ISNUMBER(SEARCH("Trendyol Satış Fiyatı",AE2))),IF(AB2&gt;=I2,U2,IF(AND(AB2&gt;=K2,AB2&lt;=J2),V2,IF(AND(AB2&gt;=M2,AB2&lt;=L2),W2,IF(AB2&lt;=N2,X2,"-")))),"-"))</f>
        <v>0.0</v>
      </c>
      <c r="AE2" s="132"/>
      <c r="AF2" s="134"/>
      <c r="AG2" s="136"/>
      <c r="AH2" s="138"/>
      <c r="AI2" s="140" t="inlineStr">
        <is>
          <t>28e1d9461a2c0f35104ce2f1e453ac97</t>
        </is>
      </c>
    </row>
    <row r="3">
      <c r="A3" s="72" t="inlineStr">
        <is>
          <t>50x75 Cm Kumaş Türk Bayrağı</t>
        </is>
      </c>
      <c r="B3" s="74" t="inlineStr">
        <is>
          <t>TB50X75A</t>
        </is>
      </c>
      <c r="C3" s="76" t="inlineStr">
        <is>
          <t/>
        </is>
      </c>
      <c r="D3" s="78"/>
      <c r="E3" s="80" t="inlineStr">
        <is>
          <t>TB50X75A</t>
        </is>
      </c>
      <c r="F3" s="82" t="inlineStr">
        <is>
          <t>Bayrak</t>
        </is>
      </c>
      <c r="G3" s="84" t="inlineStr">
        <is>
          <t>Alpaka</t>
        </is>
      </c>
      <c r="H3" s="86" t="n">
        <v>13.0</v>
      </c>
      <c r="I3" s="88" t="n">
        <v>109.33</v>
      </c>
      <c r="J3" s="90" t="n">
        <v>109.32</v>
      </c>
      <c r="K3" s="92" t="n">
        <v>101.44</v>
      </c>
      <c r="L3" s="94" t="n">
        <v>101.43</v>
      </c>
      <c r="M3" s="96" t="n">
        <v>91.89</v>
      </c>
      <c r="N3" s="98" t="n">
        <v>91.88</v>
      </c>
      <c r="O3" s="100"/>
      <c r="P3" s="102"/>
      <c r="Q3" s="104"/>
      <c r="R3" s="106"/>
      <c r="S3" s="108"/>
      <c r="T3" s="110" t="inlineStr">
        <is>
          <t>26 Haziran 08.00-30 Haziran 07.59</t>
        </is>
      </c>
      <c r="U3" s="112" t="n">
        <v>19.0</v>
      </c>
      <c r="V3" s="114" t="n">
        <v>14.9</v>
      </c>
      <c r="W3" s="116" t="n">
        <v>12.6</v>
      </c>
      <c r="X3" s="118" t="n">
        <v>9.2</v>
      </c>
      <c r="Y3" s="120" t="n">
        <v>125.0</v>
      </c>
      <c r="Z3" s="122" t="n">
        <v>19.0</v>
      </c>
      <c r="AA3" s="124" t="n">
        <v>125.0</v>
      </c>
      <c r="AB3" s="126"/>
      <c r="AC3" s="128">
        <f>IF(OR(AB3="",AE3=""),"-",IF(OR(ISNUMBER(SEARCH("3 Günlük",AE3)),ISNUMBER(SEARCH("7 Günlük",AE3)),ISNUMBER(SEARCH("Trendyol Satış Fiyatı",AE3))),IF(AB3&gt;=I3,IF(ISBLANK(P3),"-",P3),IF(AND(AB3&gt;=K3,AB3&lt;=J3),IF(ISBLANK(Q3),"-",Q3),IF(AND(AB3&gt;=M3,AB3&lt;=L3),IF(ISBLANK(R3),"-",R3),IF(AB3&lt;=N3,IF(ISBLANK(S3),"-",S3),"-")))),"-"))</f>
        <v>0.0</v>
      </c>
      <c r="AD3" s="130">
        <f>IF(OR(AB3="",AE3=""),"-",IF(OR(ISNUMBER(SEARCH("4 Günlük",AE3)),ISNUMBER(SEARCH("7 Günlük",AE3)),ISNUMBER(SEARCH("Trendyol Satış Fiyatı",AE3))),IF(AB3&gt;=I3,U3,IF(AND(AB3&gt;=K3,AB3&lt;=J3),V3,IF(AND(AB3&gt;=M3,AB3&lt;=L3),W3,IF(AB3&lt;=N3,X3,"-")))),"-"))</f>
        <v>0.0</v>
      </c>
      <c r="AE3" s="132"/>
      <c r="AF3" s="134"/>
      <c r="AG3" s="136"/>
      <c r="AH3" s="138"/>
      <c r="AI3" s="140" t="inlineStr">
        <is>
          <t>28e1d9461a2c0f35104ce2f1e453ac97</t>
        </is>
      </c>
    </row>
    <row r="4">
      <c r="A4" s="72" t="inlineStr">
        <is>
          <t>100x150 Cm Kumaş Türk Bayrağı</t>
        </is>
      </c>
      <c r="B4" s="74" t="inlineStr">
        <is>
          <t>TB100X150A</t>
        </is>
      </c>
      <c r="C4" s="76" t="inlineStr">
        <is>
          <t/>
        </is>
      </c>
      <c r="D4" s="78"/>
      <c r="E4" s="80" t="inlineStr">
        <is>
          <t>TB100X150A</t>
        </is>
      </c>
      <c r="F4" s="82" t="inlineStr">
        <is>
          <t>Bayrak</t>
        </is>
      </c>
      <c r="G4" s="84" t="inlineStr">
        <is>
          <t>Alpaka</t>
        </is>
      </c>
      <c r="H4" s="86" t="n">
        <v>89.0</v>
      </c>
      <c r="I4" s="88" t="n">
        <v>298.03</v>
      </c>
      <c r="J4" s="90" t="n">
        <v>298.02</v>
      </c>
      <c r="K4" s="92" t="n">
        <v>277.17</v>
      </c>
      <c r="L4" s="94" t="n">
        <v>277.16</v>
      </c>
      <c r="M4" s="96" t="n">
        <v>248.89</v>
      </c>
      <c r="N4" s="98" t="n">
        <v>248.88</v>
      </c>
      <c r="O4" s="100"/>
      <c r="P4" s="102"/>
      <c r="Q4" s="104"/>
      <c r="R4" s="106"/>
      <c r="S4" s="108"/>
      <c r="T4" s="110" t="inlineStr">
        <is>
          <t>26 Haziran 08.00-30 Haziran 07.59</t>
        </is>
      </c>
      <c r="U4" s="112" t="n">
        <v>19.0</v>
      </c>
      <c r="V4" s="114" t="n">
        <v>12.0</v>
      </c>
      <c r="W4" s="116" t="n">
        <v>9.6</v>
      </c>
      <c r="X4" s="118" t="n">
        <v>5.5</v>
      </c>
      <c r="Y4" s="120" t="n">
        <v>360.0</v>
      </c>
      <c r="Z4" s="122" t="n">
        <v>19.0</v>
      </c>
      <c r="AA4" s="124" t="n">
        <v>360.0</v>
      </c>
      <c r="AB4" s="126"/>
      <c r="AC4" s="128">
        <f>IF(OR(AB4="",AE4=""),"-",IF(OR(ISNUMBER(SEARCH("3 Günlük",AE4)),ISNUMBER(SEARCH("7 Günlük",AE4)),ISNUMBER(SEARCH("Trendyol Satış Fiyatı",AE4))),IF(AB4&gt;=I4,IF(ISBLANK(P4),"-",P4),IF(AND(AB4&gt;=K4,AB4&lt;=J4),IF(ISBLANK(Q4),"-",Q4),IF(AND(AB4&gt;=M4,AB4&lt;=L4),IF(ISBLANK(R4),"-",R4),IF(AB4&lt;=N4,IF(ISBLANK(S4),"-",S4),"-")))),"-"))</f>
        <v>0.0</v>
      </c>
      <c r="AD4" s="130">
        <f>IF(OR(AB4="",AE4=""),"-",IF(OR(ISNUMBER(SEARCH("4 Günlük",AE4)),ISNUMBER(SEARCH("7 Günlük",AE4)),ISNUMBER(SEARCH("Trendyol Satış Fiyatı",AE4))),IF(AB4&gt;=I4,U4,IF(AND(AB4&gt;=K4,AB4&lt;=J4),V4,IF(AND(AB4&gt;=M4,AB4&lt;=L4),W4,IF(AB4&lt;=N4,X4,"-")))),"-"))</f>
        <v>0.0</v>
      </c>
      <c r="AE4" s="132"/>
      <c r="AF4" s="134"/>
      <c r="AG4" s="136"/>
      <c r="AH4" s="138"/>
      <c r="AI4" s="140" t="inlineStr">
        <is>
          <t>28e1d9461a2c0f35104ce2f1e453ac97</t>
        </is>
      </c>
    </row>
    <row r="5">
      <c r="A5" s="72" t="inlineStr">
        <is>
          <t>Raşel Türk Bayrağı 100×150 cm – Kaliteli Üretim</t>
        </is>
      </c>
      <c r="B5" s="74" t="inlineStr">
        <is>
          <t>8569742369822</t>
        </is>
      </c>
      <c r="C5" s="76" t="inlineStr">
        <is>
          <t>TBR-RAS-100x150</t>
        </is>
      </c>
      <c r="D5" s="78"/>
      <c r="E5" s="80" t="inlineStr">
        <is>
          <t>TRB100150</t>
        </is>
      </c>
      <c r="F5" s="82" t="inlineStr">
        <is>
          <t>Bayrak</t>
        </is>
      </c>
      <c r="G5" s="84" t="inlineStr">
        <is>
          <t>AKYILDIZ store</t>
        </is>
      </c>
      <c r="H5" s="86" t="n">
        <v>50.0</v>
      </c>
      <c r="I5" s="88" t="n">
        <v>312.55</v>
      </c>
      <c r="J5" s="90" t="n">
        <v>312.54</v>
      </c>
      <c r="K5" s="92" t="n">
        <v>303.77</v>
      </c>
      <c r="L5" s="94" t="n">
        <v>303.76</v>
      </c>
      <c r="M5" s="96" t="n">
        <v>292.0</v>
      </c>
      <c r="N5" s="98" t="n">
        <v>291.99</v>
      </c>
      <c r="O5" s="100"/>
      <c r="P5" s="102"/>
      <c r="Q5" s="104"/>
      <c r="R5" s="106"/>
      <c r="S5" s="108"/>
      <c r="T5" s="110" t="inlineStr">
        <is>
          <t>26 Haziran 08.00-30 Haziran 07.59</t>
        </is>
      </c>
      <c r="U5" s="112" t="n">
        <v>19.0</v>
      </c>
      <c r="V5" s="114" t="n">
        <v>15.6</v>
      </c>
      <c r="W5" s="116" t="n">
        <v>14.5</v>
      </c>
      <c r="X5" s="118" t="n">
        <v>12.8</v>
      </c>
      <c r="Y5" s="120" t="n">
        <v>339.15</v>
      </c>
      <c r="Z5" s="122" t="n">
        <v>19.0</v>
      </c>
      <c r="AA5" s="124" t="n">
        <v>357.0</v>
      </c>
      <c r="AB5" s="126"/>
      <c r="AC5" s="128">
        <f>IF(OR(AB5="",AE5=""),"-",IF(OR(ISNUMBER(SEARCH("3 Günlük",AE5)),ISNUMBER(SEARCH("7 Günlük",AE5)),ISNUMBER(SEARCH("Trendyol Satış Fiyatı",AE5))),IF(AB5&gt;=I5,IF(ISBLANK(P5),"-",P5),IF(AND(AB5&gt;=K5,AB5&lt;=J5),IF(ISBLANK(Q5),"-",Q5),IF(AND(AB5&gt;=M5,AB5&lt;=L5),IF(ISBLANK(R5),"-",R5),IF(AB5&lt;=N5,IF(ISBLANK(S5),"-",S5),"-")))),"-"))</f>
        <v>0.0</v>
      </c>
      <c r="AD5" s="130">
        <f>IF(OR(AB5="",AE5=""),"-",IF(OR(ISNUMBER(SEARCH("4 Günlük",AE5)),ISNUMBER(SEARCH("7 Günlük",AE5)),ISNUMBER(SEARCH("Trendyol Satış Fiyatı",AE5))),IF(AB5&gt;=I5,U5,IF(AND(AB5&gt;=K5,AB5&lt;=J5),V5,IF(AND(AB5&gt;=M5,AB5&lt;=L5),W5,IF(AB5&lt;=N5,X5,"-")))),"-"))</f>
        <v>0.0</v>
      </c>
      <c r="AE5" s="132"/>
      <c r="AF5" s="134"/>
      <c r="AG5" s="136"/>
      <c r="AH5" s="138"/>
      <c r="AI5" s="140" t="inlineStr">
        <is>
          <t>28e1d9461a2c0f35104ce2f1e453ac97</t>
        </is>
      </c>
    </row>
    <row r="6">
      <c r="A6" s="72" t="inlineStr">
        <is>
          <t>Türk Bayrağı 60x90 cm - Kaliteli Alpaka Kumaş - İç ve Dış Mekana Uygun</t>
        </is>
      </c>
      <c r="B6" s="74" t="inlineStr">
        <is>
          <t>2002030043093</t>
        </is>
      </c>
      <c r="C6" s="76" t="inlineStr">
        <is>
          <t>TRB-ALP-6090</t>
        </is>
      </c>
      <c r="D6" s="78"/>
      <c r="E6" s="80" t="inlineStr">
        <is>
          <t>TRB-ALP-6090</t>
        </is>
      </c>
      <c r="F6" s="82" t="inlineStr">
        <is>
          <t>Bayrak</t>
        </is>
      </c>
      <c r="G6" s="84" t="inlineStr">
        <is>
          <t>AKYILDIZ store</t>
        </is>
      </c>
      <c r="H6" s="86" t="n">
        <v>979.0</v>
      </c>
      <c r="I6" s="88" t="n">
        <v>165.44</v>
      </c>
      <c r="J6" s="90" t="n">
        <v>165.43</v>
      </c>
      <c r="K6" s="92" t="n">
        <v>155.02</v>
      </c>
      <c r="L6" s="94" t="n">
        <v>155.01</v>
      </c>
      <c r="M6" s="96" t="n">
        <v>145.71</v>
      </c>
      <c r="N6" s="98" t="n">
        <v>145.7</v>
      </c>
      <c r="O6" s="100"/>
      <c r="P6" s="102"/>
      <c r="Q6" s="104"/>
      <c r="R6" s="106"/>
      <c r="S6" s="108"/>
      <c r="T6" s="110" t="inlineStr">
        <is>
          <t>26 Haziran 08.00-30 Haziran 07.59</t>
        </is>
      </c>
      <c r="U6" s="112" t="n">
        <v>19.0</v>
      </c>
      <c r="V6" s="114" t="n">
        <v>15.0</v>
      </c>
      <c r="W6" s="116" t="n">
        <v>13.0</v>
      </c>
      <c r="X6" s="118" t="n">
        <v>10.9</v>
      </c>
      <c r="Y6" s="120" t="n">
        <v>157.16</v>
      </c>
      <c r="Z6" s="122" t="n">
        <v>15.0</v>
      </c>
      <c r="AA6" s="124" t="n">
        <v>165.43</v>
      </c>
      <c r="AB6" s="126"/>
      <c r="AC6" s="128">
        <f>IF(OR(AB6="",AE6=""),"-",IF(OR(ISNUMBER(SEARCH("3 Günlük",AE6)),ISNUMBER(SEARCH("7 Günlük",AE6)),ISNUMBER(SEARCH("Trendyol Satış Fiyatı",AE6))),IF(AB6&gt;=I6,IF(ISBLANK(P6),"-",P6),IF(AND(AB6&gt;=K6,AB6&lt;=J6),IF(ISBLANK(Q6),"-",Q6),IF(AND(AB6&gt;=M6,AB6&lt;=L6),IF(ISBLANK(R6),"-",R6),IF(AB6&lt;=N6,IF(ISBLANK(S6),"-",S6),"-")))),"-"))</f>
        <v>0.0</v>
      </c>
      <c r="AD6" s="130">
        <f>IF(OR(AB6="",AE6=""),"-",IF(OR(ISNUMBER(SEARCH("4 Günlük",AE6)),ISNUMBER(SEARCH("7 Günlük",AE6)),ISNUMBER(SEARCH("Trendyol Satış Fiyatı",AE6))),IF(AB6&gt;=I6,U6,IF(AND(AB6&gt;=K6,AB6&lt;=J6),V6,IF(AND(AB6&gt;=M6,AB6&lt;=L6),W6,IF(AB6&lt;=N6,X6,"-")))),"-"))</f>
        <v>0.0</v>
      </c>
      <c r="AE6" s="132" t="inlineStr">
        <is>
          <t>4 Günlük Fiyat</t>
        </is>
      </c>
      <c r="AF6" s="134"/>
      <c r="AG6" s="136" t="inlineStr">
        <is>
          <t>rh_4011b573604348d7b97274f5ae637c24</t>
        </is>
      </c>
      <c r="AH6" s="138"/>
      <c r="AI6" s="140" t="inlineStr">
        <is>
          <t>28e1d9461a2c0f35104ce2f1e453ac97</t>
        </is>
      </c>
    </row>
    <row r="7">
      <c r="A7" s="72" t="inlineStr">
        <is>
          <t>60x90 Cm Kumaş Türk Bayrağı</t>
        </is>
      </c>
      <c r="B7" s="74" t="inlineStr">
        <is>
          <t>TB60X90A</t>
        </is>
      </c>
      <c r="C7" s="76"/>
      <c r="D7" s="78"/>
      <c r="E7" s="80" t="inlineStr">
        <is>
          <t>TB60X90A</t>
        </is>
      </c>
      <c r="F7" s="82" t="inlineStr">
        <is>
          <t>Bayrak</t>
        </is>
      </c>
      <c r="G7" s="84" t="inlineStr">
        <is>
          <t>Alpaka</t>
        </is>
      </c>
      <c r="H7" s="86" t="n">
        <v>74.0</v>
      </c>
      <c r="I7" s="88" t="n">
        <v>153.54</v>
      </c>
      <c r="J7" s="90" t="n">
        <v>153.53</v>
      </c>
      <c r="K7" s="92" t="n">
        <v>146.15</v>
      </c>
      <c r="L7" s="94" t="n">
        <v>146.14</v>
      </c>
      <c r="M7" s="96" t="n">
        <v>137.18</v>
      </c>
      <c r="N7" s="98" t="n">
        <v>137.17</v>
      </c>
      <c r="O7" s="100"/>
      <c r="P7" s="102"/>
      <c r="Q7" s="104"/>
      <c r="R7" s="106"/>
      <c r="S7" s="108"/>
      <c r="T7" s="110" t="inlineStr">
        <is>
          <t>26 Haziran 08.00-30 Haziran 07.59</t>
        </is>
      </c>
      <c r="U7" s="112" t="n">
        <v>19.0</v>
      </c>
      <c r="V7" s="114" t="n">
        <v>15.5</v>
      </c>
      <c r="W7" s="116" t="n">
        <v>14.0</v>
      </c>
      <c r="X7" s="118" t="n">
        <v>11.9</v>
      </c>
      <c r="Y7" s="120" t="n">
        <v>170.0</v>
      </c>
      <c r="Z7" s="122" t="n">
        <v>19.0</v>
      </c>
      <c r="AA7" s="124" t="n">
        <v>170.0</v>
      </c>
      <c r="AB7" s="126"/>
      <c r="AC7" s="128">
        <f>IF(OR(AB7="",AE7=""),"-",IF(OR(ISNUMBER(SEARCH("3 Günlük",AE7)),ISNUMBER(SEARCH("7 Günlük",AE7)),ISNUMBER(SEARCH("Trendyol Satış Fiyatı",AE7))),IF(AB7&gt;=I7,IF(ISBLANK(P7),"-",P7),IF(AND(AB7&gt;=K7,AB7&lt;=J7),IF(ISBLANK(Q7),"-",Q7),IF(AND(AB7&gt;=M7,AB7&lt;=L7),IF(ISBLANK(R7),"-",R7),IF(AB7&lt;=N7,IF(ISBLANK(S7),"-",S7),"-")))),"-"))</f>
        <v>0.0</v>
      </c>
      <c r="AD7" s="130">
        <f>IF(OR(AB7="",AE7=""),"-",IF(OR(ISNUMBER(SEARCH("4 Günlük",AE7)),ISNUMBER(SEARCH("7 Günlük",AE7)),ISNUMBER(SEARCH("Trendyol Satış Fiyatı",AE7))),IF(AB7&gt;=I7,U7,IF(AND(AB7&gt;=K7,AB7&lt;=J7),V7,IF(AND(AB7&gt;=M7,AB7&lt;=L7),W7,IF(AB7&lt;=N7,X7,"-")))),"-"))</f>
        <v>0.0</v>
      </c>
      <c r="AE7" s="132"/>
      <c r="AF7" s="134"/>
      <c r="AG7" s="136"/>
      <c r="AH7" s="138"/>
      <c r="AI7" s="140" t="inlineStr">
        <is>
          <t>28e1d9461a2c0f35104ce2f1e453ac97</t>
        </is>
      </c>
    </row>
    <row r="8">
      <c r="A8" s="72" t="inlineStr">
        <is>
          <t>150x225 Cm Kumaş Türk Bayrağı - Oda Duvarını Boyut Olarak Boydan Kaplar</t>
        </is>
      </c>
      <c r="B8" s="74" t="inlineStr">
        <is>
          <t>TB150X225A</t>
        </is>
      </c>
      <c r="C8" s="76" t="inlineStr">
        <is>
          <t/>
        </is>
      </c>
      <c r="D8" s="78"/>
      <c r="E8" s="80" t="inlineStr">
        <is>
          <t>TB150X225A</t>
        </is>
      </c>
      <c r="F8" s="82" t="inlineStr">
        <is>
          <t>Bayrak</t>
        </is>
      </c>
      <c r="G8" s="84" t="inlineStr">
        <is>
          <t>Alpaka</t>
        </is>
      </c>
      <c r="H8" s="86" t="n">
        <v>19.0</v>
      </c>
      <c r="I8" s="88" t="n">
        <v>523.12</v>
      </c>
      <c r="J8" s="90" t="n">
        <v>523.11</v>
      </c>
      <c r="K8" s="92" t="n">
        <v>482.24</v>
      </c>
      <c r="L8" s="94" t="n">
        <v>482.23</v>
      </c>
      <c r="M8" s="96" t="n">
        <v>432.48</v>
      </c>
      <c r="N8" s="98" t="n">
        <v>432.47</v>
      </c>
      <c r="O8" s="100"/>
      <c r="P8" s="102"/>
      <c r="Q8" s="104"/>
      <c r="R8" s="106"/>
      <c r="S8" s="108"/>
      <c r="T8" s="110" t="inlineStr">
        <is>
          <t>26 Haziran 08.00-30 Haziran 07.59</t>
        </is>
      </c>
      <c r="U8" s="112" t="n">
        <v>19.0</v>
      </c>
      <c r="V8" s="114" t="n">
        <v>14.7</v>
      </c>
      <c r="W8" s="116" t="n">
        <v>12.1</v>
      </c>
      <c r="X8" s="118" t="n">
        <v>8.3</v>
      </c>
      <c r="Y8" s="120" t="n">
        <v>600.0</v>
      </c>
      <c r="Z8" s="122" t="n">
        <v>19.0</v>
      </c>
      <c r="AA8" s="124" t="n">
        <v>600.0</v>
      </c>
      <c r="AB8" s="126"/>
      <c r="AC8" s="128">
        <f>IF(OR(AB8="",AE8=""),"-",IF(OR(ISNUMBER(SEARCH("3 Günlük",AE8)),ISNUMBER(SEARCH("7 Günlük",AE8)),ISNUMBER(SEARCH("Trendyol Satış Fiyatı",AE8))),IF(AB8&gt;=I8,IF(ISBLANK(P8),"-",P8),IF(AND(AB8&gt;=K8,AB8&lt;=J8),IF(ISBLANK(Q8),"-",Q8),IF(AND(AB8&gt;=M8,AB8&lt;=L8),IF(ISBLANK(R8),"-",R8),IF(AB8&lt;=N8,IF(ISBLANK(S8),"-",S8),"-")))),"-"))</f>
        <v>0.0</v>
      </c>
      <c r="AD8" s="130">
        <f>IF(OR(AB8="",AE8=""),"-",IF(OR(ISNUMBER(SEARCH("4 Günlük",AE8)),ISNUMBER(SEARCH("7 Günlük",AE8)),ISNUMBER(SEARCH("Trendyol Satış Fiyatı",AE8))),IF(AB8&gt;=I8,U8,IF(AND(AB8&gt;=K8,AB8&lt;=J8),V8,IF(AND(AB8&gt;=M8,AB8&lt;=L8),W8,IF(AB8&lt;=N8,X8,"-")))),"-"))</f>
        <v>0.0</v>
      </c>
      <c r="AE8" s="132"/>
      <c r="AF8" s="134"/>
      <c r="AG8" s="136"/>
      <c r="AH8" s="138"/>
      <c r="AI8" s="140" t="inlineStr">
        <is>
          <t>28e1d9461a2c0f35104ce2f1e453ac97</t>
        </is>
      </c>
    </row>
    <row r="9">
      <c r="A9" s="72" t="inlineStr">
        <is>
          <t>Türk Bayrağı 100x150 cm 1.Kalite raşel Kumaş</t>
        </is>
      </c>
      <c r="B9" s="74" t="inlineStr">
        <is>
          <t>21887469678</t>
        </is>
      </c>
      <c r="C9" s="76"/>
      <c r="D9" s="78"/>
      <c r="E9" s="80" t="inlineStr">
        <is>
          <t>TYCJ8TO5ON172379188933287</t>
        </is>
      </c>
      <c r="F9" s="82" t="inlineStr">
        <is>
          <t>Bayrak</t>
        </is>
      </c>
      <c r="G9" s="84" t="inlineStr">
        <is>
          <t>Bilsan</t>
        </is>
      </c>
      <c r="H9" s="86" t="n">
        <v>993.0</v>
      </c>
      <c r="I9" s="88" t="n">
        <v>302.3</v>
      </c>
      <c r="J9" s="90" t="n">
        <v>302.29</v>
      </c>
      <c r="K9" s="92" t="n">
        <v>288.15</v>
      </c>
      <c r="L9" s="94" t="n">
        <v>288.14</v>
      </c>
      <c r="M9" s="96" t="n">
        <v>269.26</v>
      </c>
      <c r="N9" s="98" t="n">
        <v>269.25</v>
      </c>
      <c r="O9" s="100"/>
      <c r="P9" s="102"/>
      <c r="Q9" s="104"/>
      <c r="R9" s="106"/>
      <c r="S9" s="108"/>
      <c r="T9" s="110" t="inlineStr">
        <is>
          <t>26 Haziran 08.00-30 Haziran 07.59</t>
        </is>
      </c>
      <c r="U9" s="112" t="n">
        <v>19.0</v>
      </c>
      <c r="V9" s="114" t="n">
        <v>15.1</v>
      </c>
      <c r="W9" s="116" t="n">
        <v>13.1</v>
      </c>
      <c r="X9" s="118" t="n">
        <v>10.2</v>
      </c>
      <c r="Y9" s="120" t="n">
        <v>390.0</v>
      </c>
      <c r="Z9" s="122" t="n">
        <v>19.0</v>
      </c>
      <c r="AA9" s="124" t="n">
        <v>390.0</v>
      </c>
      <c r="AB9" s="126"/>
      <c r="AC9" s="128">
        <f>IF(OR(AB9="",AE9=""),"-",IF(OR(ISNUMBER(SEARCH("3 Günlük",AE9)),ISNUMBER(SEARCH("7 Günlük",AE9)),ISNUMBER(SEARCH("Trendyol Satış Fiyatı",AE9))),IF(AB9&gt;=I9,IF(ISBLANK(P9),"-",P9),IF(AND(AB9&gt;=K9,AB9&lt;=J9),IF(ISBLANK(Q9),"-",Q9),IF(AND(AB9&gt;=M9,AB9&lt;=L9),IF(ISBLANK(R9),"-",R9),IF(AB9&lt;=N9,IF(ISBLANK(S9),"-",S9),"-")))),"-"))</f>
        <v>0.0</v>
      </c>
      <c r="AD9" s="130">
        <f>IF(OR(AB9="",AE9=""),"-",IF(OR(ISNUMBER(SEARCH("4 Günlük",AE9)),ISNUMBER(SEARCH("7 Günlük",AE9)),ISNUMBER(SEARCH("Trendyol Satış Fiyatı",AE9))),IF(AB9&gt;=I9,U9,IF(AND(AB9&gt;=K9,AB9&lt;=J9),V9,IF(AND(AB9&gt;=M9,AB9&lt;=L9),W9,IF(AB9&lt;=N9,X9,"-")))),"-"))</f>
        <v>0.0</v>
      </c>
      <c r="AE9" s="132"/>
      <c r="AF9" s="134"/>
      <c r="AG9" s="136"/>
      <c r="AH9" s="138"/>
      <c r="AI9" s="140" t="inlineStr">
        <is>
          <t>28e1d9461a2c0f35104ce2f1e453ac97</t>
        </is>
      </c>
    </row>
    <row r="10">
      <c r="A10" s="72" t="inlineStr">
        <is>
          <t>Türk Bayrağı 120×180 cm (1,2 x 1,8 metre) – Canlı ve Parlak Raşel Kumaş, Çift Dikiş</t>
        </is>
      </c>
      <c r="B10" s="74" t="inlineStr">
        <is>
          <t>85697423698</t>
        </is>
      </c>
      <c r="C10" s="76" t="inlineStr">
        <is>
          <t>96587422214778</t>
        </is>
      </c>
      <c r="D10" s="78"/>
      <c r="E10" s="80" t="inlineStr">
        <is>
          <t>23645f78988d</t>
        </is>
      </c>
      <c r="F10" s="82" t="inlineStr">
        <is>
          <t>Bayrak</t>
        </is>
      </c>
      <c r="G10" s="84" t="inlineStr">
        <is>
          <t>AKYILDIZ store</t>
        </is>
      </c>
      <c r="H10" s="86" t="n">
        <v>17.0</v>
      </c>
      <c r="I10" s="88" t="n">
        <v>415.45</v>
      </c>
      <c r="J10" s="90" t="n">
        <v>415.44</v>
      </c>
      <c r="K10" s="92" t="n">
        <v>400.47</v>
      </c>
      <c r="L10" s="94" t="n">
        <v>400.46</v>
      </c>
      <c r="M10" s="96" t="n">
        <v>380.25</v>
      </c>
      <c r="N10" s="98" t="n">
        <v>380.24</v>
      </c>
      <c r="O10" s="100"/>
      <c r="P10" s="102"/>
      <c r="Q10" s="104"/>
      <c r="R10" s="106"/>
      <c r="S10" s="108"/>
      <c r="T10" s="110" t="inlineStr">
        <is>
          <t>26 Haziran 08.00-30 Haziran 07.59</t>
        </is>
      </c>
      <c r="U10" s="112" t="n">
        <v>19.0</v>
      </c>
      <c r="V10" s="114" t="n">
        <v>15.6</v>
      </c>
      <c r="W10" s="116" t="n">
        <v>14.5</v>
      </c>
      <c r="X10" s="118" t="n">
        <v>12.9</v>
      </c>
      <c r="Y10" s="120" t="n">
        <v>448.87</v>
      </c>
      <c r="Z10" s="122" t="n">
        <v>19.0</v>
      </c>
      <c r="AA10" s="124" t="n">
        <v>472.5</v>
      </c>
      <c r="AB10" s="126"/>
      <c r="AC10" s="128">
        <f>IF(OR(AB10="",AE10=""),"-",IF(OR(ISNUMBER(SEARCH("3 Günlük",AE10)),ISNUMBER(SEARCH("7 Günlük",AE10)),ISNUMBER(SEARCH("Trendyol Satış Fiyatı",AE10))),IF(AB10&gt;=I10,IF(ISBLANK(P10),"-",P10),IF(AND(AB10&gt;=K10,AB10&lt;=J10),IF(ISBLANK(Q10),"-",Q10),IF(AND(AB10&gt;=M10,AB10&lt;=L10),IF(ISBLANK(R10),"-",R10),IF(AB10&lt;=N10,IF(ISBLANK(S10),"-",S10),"-")))),"-"))</f>
        <v>0.0</v>
      </c>
      <c r="AD10" s="130">
        <f>IF(OR(AB10="",AE10=""),"-",IF(OR(ISNUMBER(SEARCH("4 Günlük",AE10)),ISNUMBER(SEARCH("7 Günlük",AE10)),ISNUMBER(SEARCH("Trendyol Satış Fiyatı",AE10))),IF(AB10&gt;=I10,U10,IF(AND(AB10&gt;=K10,AB10&lt;=J10),V10,IF(AND(AB10&gt;=M10,AB10&lt;=L10),W10,IF(AB10&lt;=N10,X10,"-")))),"-"))</f>
        <v>0.0</v>
      </c>
      <c r="AE10" s="132"/>
      <c r="AF10" s="134"/>
      <c r="AG10" s="136"/>
      <c r="AH10" s="138"/>
      <c r="AI10" s="140" t="inlineStr">
        <is>
          <t>28e1d9461a2c0f35104ce2f1e453ac97</t>
        </is>
      </c>
    </row>
    <row r="11">
      <c r="A11" s="72" t="inlineStr">
        <is>
          <t>Türk Bayrağı 200×300 cm (2x3 metre) – Raşel Kumaş, Çift Dikiş</t>
        </is>
      </c>
      <c r="B11" s="74" t="inlineStr">
        <is>
          <t>2902003000019</t>
        </is>
      </c>
      <c r="C11" s="76" t="inlineStr">
        <is>
          <t>TBR-RAS-200x300</t>
        </is>
      </c>
      <c r="D11" s="78"/>
      <c r="E11" s="80" t="inlineStr">
        <is>
          <t>TBR-RAS-200x300</t>
        </is>
      </c>
      <c r="F11" s="82" t="inlineStr">
        <is>
          <t>Bayrak</t>
        </is>
      </c>
      <c r="G11" s="84" t="inlineStr">
        <is>
          <t>AKYILDIZ store</t>
        </is>
      </c>
      <c r="H11" s="86" t="n">
        <v>445.0</v>
      </c>
      <c r="I11" s="88" t="n">
        <v>794.6</v>
      </c>
      <c r="J11" s="90" t="n">
        <v>794.59</v>
      </c>
      <c r="K11" s="92" t="n">
        <v>772.21</v>
      </c>
      <c r="L11" s="94" t="n">
        <v>772.2</v>
      </c>
      <c r="M11" s="96" t="n">
        <v>741.82</v>
      </c>
      <c r="N11" s="98" t="n">
        <v>741.81</v>
      </c>
      <c r="O11" s="100"/>
      <c r="P11" s="102"/>
      <c r="Q11" s="104"/>
      <c r="R11" s="106"/>
      <c r="S11" s="108"/>
      <c r="T11" s="110" t="inlineStr">
        <is>
          <t>26 Haziran 08.00-30 Haziran 07.59</t>
        </is>
      </c>
      <c r="U11" s="112" t="n">
        <v>19.0</v>
      </c>
      <c r="V11" s="114" t="n">
        <v>15.6</v>
      </c>
      <c r="W11" s="116" t="n">
        <v>14.5</v>
      </c>
      <c r="X11" s="118" t="n">
        <v>12.8</v>
      </c>
      <c r="Y11" s="120" t="n">
        <v>886.78</v>
      </c>
      <c r="Z11" s="122" t="n">
        <v>19.0</v>
      </c>
      <c r="AA11" s="124" t="n">
        <v>933.45</v>
      </c>
      <c r="AB11" s="126"/>
      <c r="AC11" s="128">
        <f>IF(OR(AB11="",AE11=""),"-",IF(OR(ISNUMBER(SEARCH("3 Günlük",AE11)),ISNUMBER(SEARCH("7 Günlük",AE11)),ISNUMBER(SEARCH("Trendyol Satış Fiyatı",AE11))),IF(AB11&gt;=I11,IF(ISBLANK(P11),"-",P11),IF(AND(AB11&gt;=K11,AB11&lt;=J11),IF(ISBLANK(Q11),"-",Q11),IF(AND(AB11&gt;=M11,AB11&lt;=L11),IF(ISBLANK(R11),"-",R11),IF(AB11&lt;=N11,IF(ISBLANK(S11),"-",S11),"-")))),"-"))</f>
        <v>0.0</v>
      </c>
      <c r="AD11" s="130">
        <f>IF(OR(AB11="",AE11=""),"-",IF(OR(ISNUMBER(SEARCH("4 Günlük",AE11)),ISNUMBER(SEARCH("7 Günlük",AE11)),ISNUMBER(SEARCH("Trendyol Satış Fiyatı",AE11))),IF(AB11&gt;=I11,U11,IF(AND(AB11&gt;=K11,AB11&lt;=J11),V11,IF(AND(AB11&gt;=M11,AB11&lt;=L11),W11,IF(AB11&lt;=N11,X11,"-")))),"-"))</f>
        <v>0.0</v>
      </c>
      <c r="AE11" s="132"/>
      <c r="AF11" s="134"/>
      <c r="AG11" s="136"/>
      <c r="AH11" s="138"/>
      <c r="AI11" s="140" t="inlineStr">
        <is>
          <t>28e1d9461a2c0f35104ce2f1e453ac97</t>
        </is>
      </c>
    </row>
    <row r="12">
      <c r="A12" s="72" t="inlineStr">
        <is>
          <t>Büyük Boy Türk Bayrağı 300×450 (3m x 4.5m) – Raşel Kumaş, Tok Duruş, Çift Dikiş</t>
        </is>
      </c>
      <c r="B12" s="74" t="inlineStr">
        <is>
          <t>2903004500010</t>
        </is>
      </c>
      <c r="C12" s="76" t="inlineStr">
        <is>
          <t>TBR-RAS-300x450</t>
        </is>
      </c>
      <c r="D12" s="78"/>
      <c r="E12" s="80" t="inlineStr">
        <is>
          <t>TBR-RAS-300x450</t>
        </is>
      </c>
      <c r="F12" s="82" t="inlineStr">
        <is>
          <t>Bayrak</t>
        </is>
      </c>
      <c r="G12" s="84" t="inlineStr">
        <is>
          <t>AKYILDIZ store</t>
        </is>
      </c>
      <c r="H12" s="86" t="n">
        <v>4.0</v>
      </c>
      <c r="I12" s="88" t="n">
        <v>1285.03</v>
      </c>
      <c r="J12" s="90" t="n">
        <v>1285.02</v>
      </c>
      <c r="K12" s="92" t="n">
        <v>1215.75</v>
      </c>
      <c r="L12" s="94" t="n">
        <v>1215.74</v>
      </c>
      <c r="M12" s="96" t="n">
        <v>1124.64</v>
      </c>
      <c r="N12" s="98" t="n">
        <v>1124.63</v>
      </c>
      <c r="O12" s="100"/>
      <c r="P12" s="102"/>
      <c r="Q12" s="104"/>
      <c r="R12" s="106"/>
      <c r="S12" s="108"/>
      <c r="T12" s="110" t="inlineStr">
        <is>
          <t>26 Haziran 08.00-30 Haziran 07.59</t>
        </is>
      </c>
      <c r="U12" s="112" t="n">
        <v>19.0</v>
      </c>
      <c r="V12" s="114" t="n">
        <v>15.3</v>
      </c>
      <c r="W12" s="116" t="n">
        <v>13.6</v>
      </c>
      <c r="X12" s="118" t="n">
        <v>11.0</v>
      </c>
      <c r="Y12" s="120" t="n">
        <v>1544.7</v>
      </c>
      <c r="Z12" s="122" t="n">
        <v>19.0</v>
      </c>
      <c r="AA12" s="124" t="n">
        <v>1626.0</v>
      </c>
      <c r="AB12" s="126"/>
      <c r="AC12" s="128">
        <f>IF(OR(AB12="",AE12=""),"-",IF(OR(ISNUMBER(SEARCH("3 Günlük",AE12)),ISNUMBER(SEARCH("7 Günlük",AE12)),ISNUMBER(SEARCH("Trendyol Satış Fiyatı",AE12))),IF(AB12&gt;=I12,IF(ISBLANK(P12),"-",P12),IF(AND(AB12&gt;=K12,AB12&lt;=J12),IF(ISBLANK(Q12),"-",Q12),IF(AND(AB12&gt;=M12,AB12&lt;=L12),IF(ISBLANK(R12),"-",R12),IF(AB12&lt;=N12,IF(ISBLANK(S12),"-",S12),"-")))),"-"))</f>
        <v>0.0</v>
      </c>
      <c r="AD12" s="130">
        <f>IF(OR(AB12="",AE12=""),"-",IF(OR(ISNUMBER(SEARCH("4 Günlük",AE12)),ISNUMBER(SEARCH("7 Günlük",AE12)),ISNUMBER(SEARCH("Trendyol Satış Fiyatı",AE12))),IF(AB12&gt;=I12,U12,IF(AND(AB12&gt;=K12,AB12&lt;=J12),V12,IF(AND(AB12&gt;=M12,AB12&lt;=L12),W12,IF(AB12&lt;=N12,X12,"-")))),"-"))</f>
        <v>0.0</v>
      </c>
      <c r="AE12" s="132"/>
      <c r="AF12" s="134"/>
      <c r="AG12" s="136"/>
      <c r="AH12" s="138"/>
      <c r="AI12" s="140" t="inlineStr">
        <is>
          <t>28e1d9461a2c0f35104ce2f1e453ac97</t>
        </is>
      </c>
    </row>
    <row r="13">
      <c r="A13" s="72" t="inlineStr">
        <is>
          <t>Türk Bayrak 50x75 Cm Alpaka Türk Bayrağı 50x70 Alpaka 1. Kalite</t>
        </is>
      </c>
      <c r="B13" s="74" t="inlineStr">
        <is>
          <t>026233180101</t>
        </is>
      </c>
      <c r="C13" s="76"/>
      <c r="D13" s="78"/>
      <c r="E13" s="80" t="inlineStr">
        <is>
          <t>50X75 CM ALPAKA TÜRK BAYRAĞI</t>
        </is>
      </c>
      <c r="F13" s="82" t="inlineStr">
        <is>
          <t>Bayrak</t>
        </is>
      </c>
      <c r="G13" s="84" t="inlineStr">
        <is>
          <t>Lanyard</t>
        </is>
      </c>
      <c r="H13" s="86" t="n">
        <v>87.0</v>
      </c>
      <c r="I13" s="88" t="n">
        <v>111.32</v>
      </c>
      <c r="J13" s="90" t="n">
        <v>111.31</v>
      </c>
      <c r="K13" s="92" t="n">
        <v>104.9</v>
      </c>
      <c r="L13" s="94" t="n">
        <v>104.89</v>
      </c>
      <c r="M13" s="96" t="n">
        <v>96.76</v>
      </c>
      <c r="N13" s="98" t="n">
        <v>96.75</v>
      </c>
      <c r="O13" s="100"/>
      <c r="P13" s="102"/>
      <c r="Q13" s="104"/>
      <c r="R13" s="106"/>
      <c r="S13" s="108"/>
      <c r="T13" s="110" t="inlineStr">
        <is>
          <t>26 Haziran 08.00-30 Haziran 07.59</t>
        </is>
      </c>
      <c r="U13" s="112" t="n">
        <v>19.0</v>
      </c>
      <c r="V13" s="114" t="n">
        <v>15.1</v>
      </c>
      <c r="W13" s="116" t="n">
        <v>13.3</v>
      </c>
      <c r="X13" s="118" t="n">
        <v>10.6</v>
      </c>
      <c r="Y13" s="120" t="n">
        <v>170.0</v>
      </c>
      <c r="Z13" s="122" t="n">
        <v>19.0</v>
      </c>
      <c r="AA13" s="124" t="n">
        <v>170.0</v>
      </c>
      <c r="AB13" s="126"/>
      <c r="AC13" s="128">
        <f>IF(OR(AB13="",AE13=""),"-",IF(OR(ISNUMBER(SEARCH("3 Günlük",AE13)),ISNUMBER(SEARCH("7 Günlük",AE13)),ISNUMBER(SEARCH("Trendyol Satış Fiyatı",AE13))),IF(AB13&gt;=I13,IF(ISBLANK(P13),"-",P13),IF(AND(AB13&gt;=K13,AB13&lt;=J13),IF(ISBLANK(Q13),"-",Q13),IF(AND(AB13&gt;=M13,AB13&lt;=L13),IF(ISBLANK(R13),"-",R13),IF(AB13&lt;=N13,IF(ISBLANK(S13),"-",S13),"-")))),"-"))</f>
        <v>0.0</v>
      </c>
      <c r="AD13" s="130">
        <f>IF(OR(AB13="",AE13=""),"-",IF(OR(ISNUMBER(SEARCH("4 Günlük",AE13)),ISNUMBER(SEARCH("7 Günlük",AE13)),ISNUMBER(SEARCH("Trendyol Satış Fiyatı",AE13))),IF(AB13&gt;=I13,U13,IF(AND(AB13&gt;=K13,AB13&lt;=J13),V13,IF(AND(AB13&gt;=M13,AB13&lt;=L13),W13,IF(AB13&lt;=N13,X13,"-")))),"-"))</f>
        <v>0.0</v>
      </c>
      <c r="AE13" s="132"/>
      <c r="AF13" s="134"/>
      <c r="AG13" s="136"/>
      <c r="AH13" s="138"/>
      <c r="AI13" s="140" t="inlineStr">
        <is>
          <t>28e1d9461a2c0f35104ce2f1e453ac97</t>
        </is>
      </c>
    </row>
    <row r="14">
      <c r="A14" s="72" t="inlineStr">
        <is>
          <t>10 Adet 20x30 Cm - Bez Kumaş Sopalı Türk Bayrağı</t>
        </is>
      </c>
      <c r="B14" s="74" t="inlineStr">
        <is>
          <t>STB20X30AS10</t>
        </is>
      </c>
      <c r="C14" s="76" t="inlineStr">
        <is>
          <t/>
        </is>
      </c>
      <c r="D14" s="78"/>
      <c r="E14" s="80" t="inlineStr">
        <is>
          <t>STB20X30AS10</t>
        </is>
      </c>
      <c r="F14" s="82" t="inlineStr">
        <is>
          <t>Bayrak</t>
        </is>
      </c>
      <c r="G14" s="84" t="inlineStr">
        <is>
          <t>Alpaka</t>
        </is>
      </c>
      <c r="H14" s="86" t="n">
        <v>362.0</v>
      </c>
      <c r="I14" s="88" t="n">
        <v>191.2</v>
      </c>
      <c r="J14" s="90" t="n">
        <v>191.19</v>
      </c>
      <c r="K14" s="92" t="n">
        <v>178.92</v>
      </c>
      <c r="L14" s="94" t="n">
        <v>178.91</v>
      </c>
      <c r="M14" s="96" t="n">
        <v>163.3</v>
      </c>
      <c r="N14" s="98" t="n">
        <v>163.29</v>
      </c>
      <c r="O14" s="100"/>
      <c r="P14" s="102"/>
      <c r="Q14" s="104"/>
      <c r="R14" s="106"/>
      <c r="S14" s="108"/>
      <c r="T14" s="110" t="inlineStr">
        <is>
          <t>26 Haziran 08.00-30 Haziran 07.59</t>
        </is>
      </c>
      <c r="U14" s="112" t="n">
        <v>19.0</v>
      </c>
      <c r="V14" s="114" t="n">
        <v>15.0</v>
      </c>
      <c r="W14" s="116" t="n">
        <v>13.0</v>
      </c>
      <c r="X14" s="118" t="n">
        <v>9.9</v>
      </c>
      <c r="Y14" s="120" t="n">
        <v>285.0</v>
      </c>
      <c r="Z14" s="122" t="n">
        <v>19.0</v>
      </c>
      <c r="AA14" s="124" t="n">
        <v>285.0</v>
      </c>
      <c r="AB14" s="126"/>
      <c r="AC14" s="128">
        <f>IF(OR(AB14="",AE14=""),"-",IF(OR(ISNUMBER(SEARCH("3 Günlük",AE14)),ISNUMBER(SEARCH("7 Günlük",AE14)),ISNUMBER(SEARCH("Trendyol Satış Fiyatı",AE14))),IF(AB14&gt;=I14,IF(ISBLANK(P14),"-",P14),IF(AND(AB14&gt;=K14,AB14&lt;=J14),IF(ISBLANK(Q14),"-",Q14),IF(AND(AB14&gt;=M14,AB14&lt;=L14),IF(ISBLANK(R14),"-",R14),IF(AB14&lt;=N14,IF(ISBLANK(S14),"-",S14),"-")))),"-"))</f>
        <v>0.0</v>
      </c>
      <c r="AD14" s="130">
        <f>IF(OR(AB14="",AE14=""),"-",IF(OR(ISNUMBER(SEARCH("4 Günlük",AE14)),ISNUMBER(SEARCH("7 Günlük",AE14)),ISNUMBER(SEARCH("Trendyol Satış Fiyatı",AE14))),IF(AB14&gt;=I14,U14,IF(AND(AB14&gt;=K14,AB14&lt;=J14),V14,IF(AND(AB14&gt;=M14,AB14&lt;=L14),W14,IF(AB14&lt;=N14,X14,"-")))),"-"))</f>
        <v>0.0</v>
      </c>
      <c r="AE14" s="132"/>
      <c r="AF14" s="134"/>
      <c r="AG14" s="136"/>
      <c r="AH14" s="138"/>
      <c r="AI14" s="140" t="inlineStr">
        <is>
          <t>28e1d9461a2c0f35104ce2f1e453ac97</t>
        </is>
      </c>
    </row>
    <row r="15">
      <c r="A15" s="72" t="inlineStr">
        <is>
          <t>Atatürk Baskılı Türk Bayrağı Atatürk Posteri 100x150 Cm Raşel Kumaş Dijital Baskı</t>
        </is>
      </c>
      <c r="B15" s="74" t="inlineStr">
        <is>
          <t>ATA100X150R</t>
        </is>
      </c>
      <c r="C15" s="76" t="inlineStr">
        <is>
          <t/>
        </is>
      </c>
      <c r="D15" s="78"/>
      <c r="E15" s="80" t="inlineStr">
        <is>
          <t>ATA100X150R</t>
        </is>
      </c>
      <c r="F15" s="82" t="inlineStr">
        <is>
          <t>Bayrak</t>
        </is>
      </c>
      <c r="G15" s="84" t="inlineStr">
        <is>
          <t>Raşel kumaş</t>
        </is>
      </c>
      <c r="H15" s="86" t="n">
        <v>18.0</v>
      </c>
      <c r="I15" s="88" t="n">
        <v>201.16</v>
      </c>
      <c r="J15" s="90" t="n">
        <v>201.15</v>
      </c>
      <c r="K15" s="92" t="n">
        <v>188.4</v>
      </c>
      <c r="L15" s="94" t="n">
        <v>188.39</v>
      </c>
      <c r="M15" s="96" t="n">
        <v>172.89</v>
      </c>
      <c r="N15" s="98" t="n">
        <v>172.88</v>
      </c>
      <c r="O15" s="100"/>
      <c r="P15" s="102"/>
      <c r="Q15" s="104"/>
      <c r="R15" s="106"/>
      <c r="S15" s="108"/>
      <c r="T15" s="110" t="inlineStr">
        <is>
          <t>26 Haziran 08.00-30 Haziran 07.59</t>
        </is>
      </c>
      <c r="U15" s="112" t="n">
        <v>19.0</v>
      </c>
      <c r="V15" s="114" t="n">
        <v>15.0</v>
      </c>
      <c r="W15" s="116" t="n">
        <v>13.0</v>
      </c>
      <c r="X15" s="118" t="n">
        <v>10.1</v>
      </c>
      <c r="Y15" s="120" t="n">
        <v>365.0</v>
      </c>
      <c r="Z15" s="122" t="n">
        <v>19.0</v>
      </c>
      <c r="AA15" s="124" t="n">
        <v>365.0</v>
      </c>
      <c r="AB15" s="126"/>
      <c r="AC15" s="128">
        <f>IF(OR(AB15="",AE15=""),"-",IF(OR(ISNUMBER(SEARCH("3 Günlük",AE15)),ISNUMBER(SEARCH("7 Günlük",AE15)),ISNUMBER(SEARCH("Trendyol Satış Fiyatı",AE15))),IF(AB15&gt;=I15,IF(ISBLANK(P15),"-",P15),IF(AND(AB15&gt;=K15,AB15&lt;=J15),IF(ISBLANK(Q15),"-",Q15),IF(AND(AB15&gt;=M15,AB15&lt;=L15),IF(ISBLANK(R15),"-",R15),IF(AB15&lt;=N15,IF(ISBLANK(S15),"-",S15),"-")))),"-"))</f>
        <v>0.0</v>
      </c>
      <c r="AD15" s="130">
        <f>IF(OR(AB15="",AE15=""),"-",IF(OR(ISNUMBER(SEARCH("4 Günlük",AE15)),ISNUMBER(SEARCH("7 Günlük",AE15)),ISNUMBER(SEARCH("Trendyol Satış Fiyatı",AE15))),IF(AB15&gt;=I15,U15,IF(AND(AB15&gt;=K15,AB15&lt;=J15),V15,IF(AND(AB15&gt;=M15,AB15&lt;=L15),W15,IF(AB15&lt;=N15,X15,"-")))),"-"))</f>
        <v>0.0</v>
      </c>
      <c r="AE15" s="132"/>
      <c r="AF15" s="134"/>
      <c r="AG15" s="136"/>
      <c r="AH15" s="138"/>
      <c r="AI15" s="140" t="inlineStr">
        <is>
          <t>28e1d9461a2c0f35104ce2f1e453ac97</t>
        </is>
      </c>
    </row>
    <row r="16">
      <c r="A16" s="72" t="inlineStr">
        <is>
          <t>Türk Bayrağı 100×150 cm – 1. Sınıf Alpaka Kumaştan Üretilmiştir</t>
        </is>
      </c>
      <c r="B16" s="74" t="inlineStr">
        <is>
          <t>2903335800010</t>
        </is>
      </c>
      <c r="C16" s="76" t="inlineStr">
        <is>
          <t>TRB100150-AK</t>
        </is>
      </c>
      <c r="D16" s="78"/>
      <c r="E16" s="80" t="inlineStr">
        <is>
          <t>TRB100150-AK</t>
        </is>
      </c>
      <c r="F16" s="82" t="inlineStr">
        <is>
          <t>Bayrak</t>
        </is>
      </c>
      <c r="G16" s="84" t="inlineStr">
        <is>
          <t>AKYILDIZ store</t>
        </is>
      </c>
      <c r="H16" s="86" t="n">
        <v>82.0</v>
      </c>
      <c r="I16" s="88" t="n">
        <v>299.0</v>
      </c>
      <c r="J16" s="90" t="n">
        <v>298.99</v>
      </c>
      <c r="K16" s="92" t="n">
        <v>273.41</v>
      </c>
      <c r="L16" s="94" t="n">
        <v>273.4</v>
      </c>
      <c r="M16" s="96" t="n">
        <v>244.29</v>
      </c>
      <c r="N16" s="98" t="n">
        <v>244.28</v>
      </c>
      <c r="O16" s="100"/>
      <c r="P16" s="102"/>
      <c r="Q16" s="104"/>
      <c r="R16" s="106"/>
      <c r="S16" s="108"/>
      <c r="T16" s="110" t="inlineStr">
        <is>
          <t>26 Haziran 08.00-30 Haziran 07.59</t>
        </is>
      </c>
      <c r="U16" s="112" t="n">
        <v>19.0</v>
      </c>
      <c r="V16" s="114" t="n">
        <v>14.6</v>
      </c>
      <c r="W16" s="116" t="n">
        <v>11.7</v>
      </c>
      <c r="X16" s="118" t="n">
        <v>7.8</v>
      </c>
      <c r="Y16" s="120" t="n">
        <v>438.8</v>
      </c>
      <c r="Z16" s="122" t="n">
        <v>19.0</v>
      </c>
      <c r="AA16" s="124" t="n">
        <v>461.9</v>
      </c>
      <c r="AB16" s="126"/>
      <c r="AC16" s="128">
        <f>IF(OR(AB16="",AE16=""),"-",IF(OR(ISNUMBER(SEARCH("3 Günlük",AE16)),ISNUMBER(SEARCH("7 Günlük",AE16)),ISNUMBER(SEARCH("Trendyol Satış Fiyatı",AE16))),IF(AB16&gt;=I16,IF(ISBLANK(P16),"-",P16),IF(AND(AB16&gt;=K16,AB16&lt;=J16),IF(ISBLANK(Q16),"-",Q16),IF(AND(AB16&gt;=M16,AB16&lt;=L16),IF(ISBLANK(R16),"-",R16),IF(AB16&lt;=N16,IF(ISBLANK(S16),"-",S16),"-")))),"-"))</f>
        <v>0.0</v>
      </c>
      <c r="AD16" s="130">
        <f>IF(OR(AB16="",AE16=""),"-",IF(OR(ISNUMBER(SEARCH("4 Günlük",AE16)),ISNUMBER(SEARCH("7 Günlük",AE16)),ISNUMBER(SEARCH("Trendyol Satış Fiyatı",AE16))),IF(AB16&gt;=I16,U16,IF(AND(AB16&gt;=K16,AB16&lt;=J16),V16,IF(AND(AB16&gt;=M16,AB16&lt;=L16),W16,IF(AB16&lt;=N16,X16,"-")))),"-"))</f>
        <v>0.0</v>
      </c>
      <c r="AE16" s="132"/>
      <c r="AF16" s="134"/>
      <c r="AG16" s="136"/>
      <c r="AH16" s="138"/>
      <c r="AI16" s="140" t="inlineStr">
        <is>
          <t>28e1d9461a2c0f35104ce2f1e453ac97</t>
        </is>
      </c>
    </row>
    <row r="17">
      <c r="A17" s="72" t="inlineStr">
        <is>
          <t>70x105 Cm Kumaş Türk Bayrağı - Bayrak Kumaşı</t>
        </is>
      </c>
      <c r="B17" s="74" t="inlineStr">
        <is>
          <t>TB70X105A</t>
        </is>
      </c>
      <c r="C17" s="76"/>
      <c r="D17" s="78"/>
      <c r="E17" s="80" t="inlineStr">
        <is>
          <t>TB70X105A</t>
        </is>
      </c>
      <c r="F17" s="82" t="inlineStr">
        <is>
          <t>Bayrak</t>
        </is>
      </c>
      <c r="G17" s="84" t="inlineStr">
        <is>
          <t>Alpaka</t>
        </is>
      </c>
      <c r="H17" s="86" t="n">
        <v>956.0</v>
      </c>
      <c r="I17" s="88" t="n">
        <v>192.61</v>
      </c>
      <c r="J17" s="90" t="n">
        <v>192.6</v>
      </c>
      <c r="K17" s="92" t="n">
        <v>175.19</v>
      </c>
      <c r="L17" s="94" t="n">
        <v>175.18</v>
      </c>
      <c r="M17" s="96" t="n">
        <v>154.15</v>
      </c>
      <c r="N17" s="98" t="n">
        <v>154.14</v>
      </c>
      <c r="O17" s="100"/>
      <c r="P17" s="102"/>
      <c r="Q17" s="104"/>
      <c r="R17" s="106"/>
      <c r="S17" s="108"/>
      <c r="T17" s="110" t="inlineStr">
        <is>
          <t>26 Haziran 08.00-30 Haziran 07.59</t>
        </is>
      </c>
      <c r="U17" s="112" t="n">
        <v>19.0</v>
      </c>
      <c r="V17" s="114" t="n">
        <v>14.4</v>
      </c>
      <c r="W17" s="116" t="n">
        <v>11.4</v>
      </c>
      <c r="X17" s="118" t="n">
        <v>6.8</v>
      </c>
      <c r="Y17" s="120" t="n">
        <v>192.6</v>
      </c>
      <c r="Z17" s="122" t="n">
        <v>14.4</v>
      </c>
      <c r="AA17" s="124" t="n">
        <v>192.6</v>
      </c>
      <c r="AB17" s="126"/>
      <c r="AC17" s="128">
        <f>IF(OR(AB17="",AE17=""),"-",IF(OR(ISNUMBER(SEARCH("3 Günlük",AE17)),ISNUMBER(SEARCH("7 Günlük",AE17)),ISNUMBER(SEARCH("Trendyol Satış Fiyatı",AE17))),IF(AB17&gt;=I17,IF(ISBLANK(P17),"-",P17),IF(AND(AB17&gt;=K17,AB17&lt;=J17),IF(ISBLANK(Q17),"-",Q17),IF(AND(AB17&gt;=M17,AB17&lt;=L17),IF(ISBLANK(R17),"-",R17),IF(AB17&lt;=N17,IF(ISBLANK(S17),"-",S17),"-")))),"-"))</f>
        <v>0.0</v>
      </c>
      <c r="AD17" s="130">
        <f>IF(OR(AB17="",AE17=""),"-",IF(OR(ISNUMBER(SEARCH("4 Günlük",AE17)),ISNUMBER(SEARCH("7 Günlük",AE17)),ISNUMBER(SEARCH("Trendyol Satış Fiyatı",AE17))),IF(AB17&gt;=I17,U17,IF(AND(AB17&gt;=K17,AB17&lt;=J17),V17,IF(AND(AB17&gt;=M17,AB17&lt;=L17),W17,IF(AB17&lt;=N17,X17,"-")))),"-"))</f>
        <v>0.0</v>
      </c>
      <c r="AE17" s="132" t="inlineStr">
        <is>
          <t>4 Günlük Fiyat</t>
        </is>
      </c>
      <c r="AF17" s="134"/>
      <c r="AG17" s="136" t="inlineStr">
        <is>
          <t>rh_8746f493e86eabc6b700432f73f511b4</t>
        </is>
      </c>
      <c r="AH17" s="138"/>
      <c r="AI17" s="140" t="inlineStr">
        <is>
          <t>28e1d9461a2c0f35104ce2f1e453ac97</t>
        </is>
      </c>
    </row>
    <row r="18">
      <c r="A18" s="72" t="inlineStr">
        <is>
          <t>Türk Bayrağı 70x105 cm Milli Bayramlar İçin Türk Bayrağı Balkona Arabaya Asılabilen Türk Bayrağı</t>
        </is>
      </c>
      <c r="B18" s="74" t="inlineStr">
        <is>
          <t>ADB0000000002</t>
        </is>
      </c>
      <c r="C18" s="76" t="inlineStr">
        <is>
          <t/>
        </is>
      </c>
      <c r="D18" s="78"/>
      <c r="E18" s="80" t="inlineStr">
        <is>
          <t>ADB002</t>
        </is>
      </c>
      <c r="F18" s="82" t="inlineStr">
        <is>
          <t>Bayrak</t>
        </is>
      </c>
      <c r="G18" s="84" t="inlineStr">
        <is>
          <t>Antalya Dünya Bayrak</t>
        </is>
      </c>
      <c r="H18" s="86" t="n">
        <v>24.0</v>
      </c>
      <c r="I18" s="88" t="n">
        <v>175.07</v>
      </c>
      <c r="J18" s="90" t="n">
        <v>175.06</v>
      </c>
      <c r="K18" s="92" t="n">
        <v>167.03</v>
      </c>
      <c r="L18" s="94" t="n">
        <v>167.02</v>
      </c>
      <c r="M18" s="96" t="n">
        <v>156.74</v>
      </c>
      <c r="N18" s="98" t="n">
        <v>156.73</v>
      </c>
      <c r="O18" s="100"/>
      <c r="P18" s="102"/>
      <c r="Q18" s="104"/>
      <c r="R18" s="106"/>
      <c r="S18" s="108"/>
      <c r="T18" s="110" t="inlineStr">
        <is>
          <t>26 Haziran 08.00-30 Haziran 07.59</t>
        </is>
      </c>
      <c r="U18" s="112" t="n">
        <v>19.0</v>
      </c>
      <c r="V18" s="114" t="n">
        <v>15.5</v>
      </c>
      <c r="W18" s="116" t="n">
        <v>14.1</v>
      </c>
      <c r="X18" s="118" t="n">
        <v>12.0</v>
      </c>
      <c r="Y18" s="120" t="n">
        <v>200.0</v>
      </c>
      <c r="Z18" s="122" t="n">
        <v>19.0</v>
      </c>
      <c r="AA18" s="124" t="n">
        <v>200.0</v>
      </c>
      <c r="AB18" s="126"/>
      <c r="AC18" s="128">
        <f>IF(OR(AB18="",AE18=""),"-",IF(OR(ISNUMBER(SEARCH("3 Günlük",AE18)),ISNUMBER(SEARCH("7 Günlük",AE18)),ISNUMBER(SEARCH("Trendyol Satış Fiyatı",AE18))),IF(AB18&gt;=I18,IF(ISBLANK(P18),"-",P18),IF(AND(AB18&gt;=K18,AB18&lt;=J18),IF(ISBLANK(Q18),"-",Q18),IF(AND(AB18&gt;=M18,AB18&lt;=L18),IF(ISBLANK(R18),"-",R18),IF(AB18&lt;=N18,IF(ISBLANK(S18),"-",S18),"-")))),"-"))</f>
        <v>0.0</v>
      </c>
      <c r="AD18" s="130">
        <f>IF(OR(AB18="",AE18=""),"-",IF(OR(ISNUMBER(SEARCH("4 Günlük",AE18)),ISNUMBER(SEARCH("7 Günlük",AE18)),ISNUMBER(SEARCH("Trendyol Satış Fiyatı",AE18))),IF(AB18&gt;=I18,U18,IF(AND(AB18&gt;=K18,AB18&lt;=J18),V18,IF(AND(AB18&gt;=M18,AB18&lt;=L18),W18,IF(AB18&lt;=N18,X18,"-")))),"-"))</f>
        <v>0.0</v>
      </c>
      <c r="AE18" s="132"/>
      <c r="AF18" s="134"/>
      <c r="AG18" s="136"/>
      <c r="AH18" s="138"/>
      <c r="AI18" s="140" t="inlineStr">
        <is>
          <t>28e1d9461a2c0f35104ce2f1e453ac97</t>
        </is>
      </c>
    </row>
    <row r="19">
      <c r="A19" s="72" t="inlineStr">
        <is>
          <t>70x105 İran Milli Gönder Bayrağı Raşel Kumaş Dijital Baskı</t>
        </is>
      </c>
      <c r="B19" s="74" t="inlineStr">
        <is>
          <t>2902225662410</t>
        </is>
      </c>
      <c r="C19" s="76" t="inlineStr">
        <is>
          <t>AKYDLZ-STR-IRAN-70X105</t>
        </is>
      </c>
      <c r="D19" s="78"/>
      <c r="E19" s="80" t="inlineStr">
        <is>
          <t>AKYDLZ-STR-IRAN-70X105</t>
        </is>
      </c>
      <c r="F19" s="82" t="inlineStr">
        <is>
          <t>Bayrak</t>
        </is>
      </c>
      <c r="G19" s="84" t="inlineStr">
        <is>
          <t>AKYILDIZ store</t>
        </is>
      </c>
      <c r="H19" s="86" t="n">
        <v>4.0</v>
      </c>
      <c r="I19" s="88" t="n">
        <v>240.23</v>
      </c>
      <c r="J19" s="90" t="n">
        <v>240.22</v>
      </c>
      <c r="K19" s="92" t="n">
        <v>218.15</v>
      </c>
      <c r="L19" s="94" t="n">
        <v>218.14</v>
      </c>
      <c r="M19" s="96" t="n">
        <v>191.19</v>
      </c>
      <c r="N19" s="98" t="n">
        <v>191.18</v>
      </c>
      <c r="O19" s="100"/>
      <c r="P19" s="102"/>
      <c r="Q19" s="104"/>
      <c r="R19" s="106"/>
      <c r="S19" s="108"/>
      <c r="T19" s="110" t="inlineStr">
        <is>
          <t>26 Haziran 08.00-30 Haziran 07.59</t>
        </is>
      </c>
      <c r="U19" s="112" t="n">
        <v>19.0</v>
      </c>
      <c r="V19" s="114" t="n">
        <v>14.3</v>
      </c>
      <c r="W19" s="116" t="n">
        <v>11.2</v>
      </c>
      <c r="X19" s="118" t="n">
        <v>6.5</v>
      </c>
      <c r="Y19" s="120" t="n">
        <v>269.32</v>
      </c>
      <c r="Z19" s="122" t="n">
        <v>19.0</v>
      </c>
      <c r="AA19" s="124" t="n">
        <v>283.5</v>
      </c>
      <c r="AB19" s="126"/>
      <c r="AC19" s="128">
        <f>IF(OR(AB19="",AE19=""),"-",IF(OR(ISNUMBER(SEARCH("3 Günlük",AE19)),ISNUMBER(SEARCH("7 Günlük",AE19)),ISNUMBER(SEARCH("Trendyol Satış Fiyatı",AE19))),IF(AB19&gt;=I19,IF(ISBLANK(P19),"-",P19),IF(AND(AB19&gt;=K19,AB19&lt;=J19),IF(ISBLANK(Q19),"-",Q19),IF(AND(AB19&gt;=M19,AB19&lt;=L19),IF(ISBLANK(R19),"-",R19),IF(AB19&lt;=N19,IF(ISBLANK(S19),"-",S19),"-")))),"-"))</f>
        <v>0.0</v>
      </c>
      <c r="AD19" s="130">
        <f>IF(OR(AB19="",AE19=""),"-",IF(OR(ISNUMBER(SEARCH("4 Günlük",AE19)),ISNUMBER(SEARCH("7 Günlük",AE19)),ISNUMBER(SEARCH("Trendyol Satış Fiyatı",AE19))),IF(AB19&gt;=I19,U19,IF(AND(AB19&gt;=K19,AB19&lt;=J19),V19,IF(AND(AB19&gt;=M19,AB19&lt;=L19),W19,IF(AB19&lt;=N19,X19,"-")))),"-"))</f>
        <v>0.0</v>
      </c>
      <c r="AE19" s="132"/>
      <c r="AF19" s="134"/>
      <c r="AG19" s="136"/>
      <c r="AH19" s="138"/>
      <c r="AI19" s="140" t="inlineStr">
        <is>
          <t>28e1d9461a2c0f35104ce2f1e453ac97</t>
        </is>
      </c>
    </row>
    <row r="20">
      <c r="A20" s="72" t="inlineStr">
        <is>
          <t>Sopalı Türk Bayrağı 40x60 cm - Alpaka Kumaş 1. Kalite (5 Adet)</t>
        </is>
      </c>
      <c r="B20" s="74" t="inlineStr">
        <is>
          <t>22887400813</t>
        </is>
      </c>
      <c r="C20" s="76"/>
      <c r="D20" s="78"/>
      <c r="E20" s="80" t="inlineStr">
        <is>
          <t>BLSN11164</t>
        </is>
      </c>
      <c r="F20" s="82" t="inlineStr">
        <is>
          <t>Bayrak</t>
        </is>
      </c>
      <c r="G20" s="84" t="inlineStr">
        <is>
          <t>Bilsan</t>
        </is>
      </c>
      <c r="H20" s="86" t="n">
        <v>989.0</v>
      </c>
      <c r="I20" s="88" t="n">
        <v>308.05</v>
      </c>
      <c r="J20" s="90" t="n">
        <v>308.04</v>
      </c>
      <c r="K20" s="92" t="n">
        <v>280.41</v>
      </c>
      <c r="L20" s="94" t="n">
        <v>280.4</v>
      </c>
      <c r="M20" s="96" t="n">
        <v>256.2</v>
      </c>
      <c r="N20" s="98" t="n">
        <v>256.19</v>
      </c>
      <c r="O20" s="100"/>
      <c r="P20" s="102"/>
      <c r="Q20" s="104"/>
      <c r="R20" s="106"/>
      <c r="S20" s="108"/>
      <c r="T20" s="110" t="inlineStr">
        <is>
          <t>26 Haziran 08.00-30 Haziran 07.59</t>
        </is>
      </c>
      <c r="U20" s="112" t="n">
        <v>19.0</v>
      </c>
      <c r="V20" s="114" t="n">
        <v>14.3</v>
      </c>
      <c r="W20" s="116" t="n">
        <v>11.3</v>
      </c>
      <c r="X20" s="118" t="n">
        <v>8.1</v>
      </c>
      <c r="Y20" s="120" t="n">
        <v>540.0</v>
      </c>
      <c r="Z20" s="122" t="n">
        <v>19.0</v>
      </c>
      <c r="AA20" s="124" t="n">
        <v>540.0</v>
      </c>
      <c r="AB20" s="126"/>
      <c r="AC20" s="128">
        <f>IF(OR(AB20="",AE20=""),"-",IF(OR(ISNUMBER(SEARCH("3 Günlük",AE20)),ISNUMBER(SEARCH("7 Günlük",AE20)),ISNUMBER(SEARCH("Trendyol Satış Fiyatı",AE20))),IF(AB20&gt;=I20,IF(ISBLANK(P20),"-",P20),IF(AND(AB20&gt;=K20,AB20&lt;=J20),IF(ISBLANK(Q20),"-",Q20),IF(AND(AB20&gt;=M20,AB20&lt;=L20),IF(ISBLANK(R20),"-",R20),IF(AB20&lt;=N20,IF(ISBLANK(S20),"-",S20),"-")))),"-"))</f>
        <v>0.0</v>
      </c>
      <c r="AD20" s="130">
        <f>IF(OR(AB20="",AE20=""),"-",IF(OR(ISNUMBER(SEARCH("4 Günlük",AE20)),ISNUMBER(SEARCH("7 Günlük",AE20)),ISNUMBER(SEARCH("Trendyol Satış Fiyatı",AE20))),IF(AB20&gt;=I20,U20,IF(AND(AB20&gt;=K20,AB20&lt;=J20),V20,IF(AND(AB20&gt;=M20,AB20&lt;=L20),W20,IF(AB20&lt;=N20,X20,"-")))),"-"))</f>
        <v>0.0</v>
      </c>
      <c r="AE20" s="132"/>
      <c r="AF20" s="134"/>
      <c r="AG20" s="136"/>
      <c r="AH20" s="138"/>
      <c r="AI20" s="140" t="inlineStr">
        <is>
          <t>28e1d9461a2c0f35104ce2f1e453ac97</t>
        </is>
      </c>
    </row>
    <row r="21">
      <c r="A21" s="72" t="inlineStr">
        <is>
          <t>Türk Bayrağı 70x105 cm - Kaliteli Alpaka Kumaş - Canlı ve Solmaz Renk, İç ve Dış Mekanlara Uygun</t>
        </is>
      </c>
      <c r="B21" s="74" t="inlineStr">
        <is>
          <t>2005075032077</t>
        </is>
      </c>
      <c r="C21" s="76" t="inlineStr">
        <is>
          <t>AKY-TRB-70105-ALP</t>
        </is>
      </c>
      <c r="D21" s="78"/>
      <c r="E21" s="80" t="inlineStr">
        <is>
          <t>AKY-TRB-70105-ALP</t>
        </is>
      </c>
      <c r="F21" s="82" t="inlineStr">
        <is>
          <t>Bayrak</t>
        </is>
      </c>
      <c r="G21" s="84" t="inlineStr">
        <is>
          <t>AKYILDIZ store</t>
        </is>
      </c>
      <c r="H21" s="86" t="n">
        <v>999.0</v>
      </c>
      <c r="I21" s="88" t="n">
        <v>185.26</v>
      </c>
      <c r="J21" s="90" t="n">
        <v>185.25</v>
      </c>
      <c r="K21" s="92" t="n">
        <v>176.18</v>
      </c>
      <c r="L21" s="94" t="n">
        <v>176.17</v>
      </c>
      <c r="M21" s="96" t="n">
        <v>168.39</v>
      </c>
      <c r="N21" s="98" t="n">
        <v>168.38</v>
      </c>
      <c r="O21" s="100"/>
      <c r="P21" s="102"/>
      <c r="Q21" s="104"/>
      <c r="R21" s="106"/>
      <c r="S21" s="108"/>
      <c r="T21" s="110" t="inlineStr">
        <is>
          <t>26 Haziran 08.00-30 Haziran 07.59</t>
        </is>
      </c>
      <c r="U21" s="112" t="n">
        <v>19.0</v>
      </c>
      <c r="V21" s="114" t="n">
        <v>15.3</v>
      </c>
      <c r="W21" s="116" t="n">
        <v>13.8</v>
      </c>
      <c r="X21" s="118" t="n">
        <v>12.3</v>
      </c>
      <c r="Y21" s="120" t="n">
        <v>289.18</v>
      </c>
      <c r="Z21" s="122" t="n">
        <v>19.0</v>
      </c>
      <c r="AA21" s="124" t="n">
        <v>304.4</v>
      </c>
      <c r="AB21" s="126"/>
      <c r="AC21" s="128">
        <f>IF(OR(AB21="",AE21=""),"-",IF(OR(ISNUMBER(SEARCH("3 Günlük",AE21)),ISNUMBER(SEARCH("7 Günlük",AE21)),ISNUMBER(SEARCH("Trendyol Satış Fiyatı",AE21))),IF(AB21&gt;=I21,IF(ISBLANK(P21),"-",P21),IF(AND(AB21&gt;=K21,AB21&lt;=J21),IF(ISBLANK(Q21),"-",Q21),IF(AND(AB21&gt;=M21,AB21&lt;=L21),IF(ISBLANK(R21),"-",R21),IF(AB21&lt;=N21,IF(ISBLANK(S21),"-",S21),"-")))),"-"))</f>
        <v>0.0</v>
      </c>
      <c r="AD21" s="130">
        <f>IF(OR(AB21="",AE21=""),"-",IF(OR(ISNUMBER(SEARCH("4 Günlük",AE21)),ISNUMBER(SEARCH("7 Günlük",AE21)),ISNUMBER(SEARCH("Trendyol Satış Fiyatı",AE21))),IF(AB21&gt;=I21,U21,IF(AND(AB21&gt;=K21,AB21&lt;=J21),V21,IF(AND(AB21&gt;=M21,AB21&lt;=L21),W21,IF(AB21&lt;=N21,X21,"-")))),"-"))</f>
        <v>0.0</v>
      </c>
      <c r="AE21" s="132"/>
      <c r="AF21" s="134"/>
      <c r="AG21" s="136"/>
      <c r="AH21" s="138"/>
      <c r="AI21" s="140" t="inlineStr">
        <is>
          <t>28e1d9461a2c0f35104ce2f1e453ac97</t>
        </is>
      </c>
    </row>
    <row r="22">
      <c r="A22" s="72" t="inlineStr">
        <is>
          <t>Türk Bayrağı 600x900 cm - Raşel Kumaş Büyük Ebat Dış Mekân Direk</t>
        </is>
      </c>
      <c r="B22" s="74" t="inlineStr">
        <is>
          <t>86931282052075</t>
        </is>
      </c>
      <c r="C22" s="76" t="inlineStr">
        <is>
          <t>TBR-RSL-600x900</t>
        </is>
      </c>
      <c r="D22" s="78"/>
      <c r="E22" s="80" t="inlineStr">
        <is>
          <t>TBR-RAS-600x900</t>
        </is>
      </c>
      <c r="F22" s="82" t="inlineStr">
        <is>
          <t>Bayrak</t>
        </is>
      </c>
      <c r="G22" s="84" t="inlineStr">
        <is>
          <t>AKYILDIZ store</t>
        </is>
      </c>
      <c r="H22" s="86" t="n">
        <v>32.0</v>
      </c>
      <c r="I22" s="88" t="n">
        <v>4562.71</v>
      </c>
      <c r="J22" s="90" t="n">
        <v>4562.7</v>
      </c>
      <c r="K22" s="92" t="n">
        <v>4354.54</v>
      </c>
      <c r="L22" s="94" t="n">
        <v>4354.53</v>
      </c>
      <c r="M22" s="96" t="n">
        <v>4076.47</v>
      </c>
      <c r="N22" s="98" t="n">
        <v>4076.46</v>
      </c>
      <c r="O22" s="100"/>
      <c r="P22" s="102"/>
      <c r="Q22" s="104"/>
      <c r="R22" s="106"/>
      <c r="S22" s="108"/>
      <c r="T22" s="110" t="inlineStr">
        <is>
          <t>26 Haziran 08.00-30 Haziran 07.59</t>
        </is>
      </c>
      <c r="U22" s="112" t="n">
        <v>19.0</v>
      </c>
      <c r="V22" s="114" t="n">
        <v>15.5</v>
      </c>
      <c r="W22" s="116" t="n">
        <v>14.1</v>
      </c>
      <c r="X22" s="118" t="n">
        <v>11.9</v>
      </c>
      <c r="Y22" s="120" t="n">
        <v>5236.4</v>
      </c>
      <c r="Z22" s="122" t="n">
        <v>19.0</v>
      </c>
      <c r="AA22" s="124" t="n">
        <v>5512.0</v>
      </c>
      <c r="AB22" s="126"/>
      <c r="AC22" s="128">
        <f>IF(OR(AB22="",AE22=""),"-",IF(OR(ISNUMBER(SEARCH("3 Günlük",AE22)),ISNUMBER(SEARCH("7 Günlük",AE22)),ISNUMBER(SEARCH("Trendyol Satış Fiyatı",AE22))),IF(AB22&gt;=I22,IF(ISBLANK(P22),"-",P22),IF(AND(AB22&gt;=K22,AB22&lt;=J22),IF(ISBLANK(Q22),"-",Q22),IF(AND(AB22&gt;=M22,AB22&lt;=L22),IF(ISBLANK(R22),"-",R22),IF(AB22&lt;=N22,IF(ISBLANK(S22),"-",S22),"-")))),"-"))</f>
        <v>0.0</v>
      </c>
      <c r="AD22" s="130">
        <f>IF(OR(AB22="",AE22=""),"-",IF(OR(ISNUMBER(SEARCH("4 Günlük",AE22)),ISNUMBER(SEARCH("7 Günlük",AE22)),ISNUMBER(SEARCH("Trendyol Satış Fiyatı",AE22))),IF(AB22&gt;=I22,U22,IF(AND(AB22&gt;=K22,AB22&lt;=J22),V22,IF(AND(AB22&gt;=M22,AB22&lt;=L22),W22,IF(AB22&lt;=N22,X22,"-")))),"-"))</f>
        <v>0.0</v>
      </c>
      <c r="AE22" s="132"/>
      <c r="AF22" s="134"/>
      <c r="AG22" s="136"/>
      <c r="AH22" s="138"/>
      <c r="AI22" s="140" t="inlineStr">
        <is>
          <t>28e1d9461a2c0f35104ce2f1e453ac97</t>
        </is>
      </c>
    </row>
    <row r="23">
      <c r="A23" s="72" t="inlineStr">
        <is>
          <t>Türk Bayrağı 400x600 cm (4m x 6m) - Raşel Kumaş Dış Mekan Direk ve Balkon Uyumlu</t>
        </is>
      </c>
      <c r="B23" s="74" t="inlineStr">
        <is>
          <t>86976545211075</t>
        </is>
      </c>
      <c r="C23" s="76" t="inlineStr">
        <is>
          <t>TBR-RAS-400x600</t>
        </is>
      </c>
      <c r="D23" s="78"/>
      <c r="E23" s="80" t="inlineStr">
        <is>
          <t>TBR-RAS-400x600</t>
        </is>
      </c>
      <c r="F23" s="82" t="inlineStr">
        <is>
          <t>Bayrak</t>
        </is>
      </c>
      <c r="G23" s="84" t="inlineStr">
        <is>
          <t>AKYILDIZ store</t>
        </is>
      </c>
      <c r="H23" s="86" t="n">
        <v>35.0</v>
      </c>
      <c r="I23" s="88" t="n">
        <v>2343.33</v>
      </c>
      <c r="J23" s="90" t="n">
        <v>2343.32</v>
      </c>
      <c r="K23" s="92" t="n">
        <v>2277.91</v>
      </c>
      <c r="L23" s="94" t="n">
        <v>2277.9</v>
      </c>
      <c r="M23" s="96" t="n">
        <v>2236.55</v>
      </c>
      <c r="N23" s="98" t="n">
        <v>2236.54</v>
      </c>
      <c r="O23" s="100"/>
      <c r="P23" s="102"/>
      <c r="Q23" s="104"/>
      <c r="R23" s="106"/>
      <c r="S23" s="108"/>
      <c r="T23" s="110" t="inlineStr">
        <is>
          <t>26 Haziran 08.00-30 Haziran 07.59</t>
        </is>
      </c>
      <c r="U23" s="112" t="n">
        <v>19.0</v>
      </c>
      <c r="V23" s="114" t="n">
        <v>16.1</v>
      </c>
      <c r="W23" s="116" t="n">
        <v>15.2</v>
      </c>
      <c r="X23" s="118" t="n">
        <v>14.7</v>
      </c>
      <c r="Y23" s="120" t="n">
        <v>2593.5</v>
      </c>
      <c r="Z23" s="122" t="n">
        <v>19.0</v>
      </c>
      <c r="AA23" s="124" t="n">
        <v>2730.0</v>
      </c>
      <c r="AB23" s="126"/>
      <c r="AC23" s="128">
        <f>IF(OR(AB23="",AE23=""),"-",IF(OR(ISNUMBER(SEARCH("3 Günlük",AE23)),ISNUMBER(SEARCH("7 Günlük",AE23)),ISNUMBER(SEARCH("Trendyol Satış Fiyatı",AE23))),IF(AB23&gt;=I23,IF(ISBLANK(P23),"-",P23),IF(AND(AB23&gt;=K23,AB23&lt;=J23),IF(ISBLANK(Q23),"-",Q23),IF(AND(AB23&gt;=M23,AB23&lt;=L23),IF(ISBLANK(R23),"-",R23),IF(AB23&lt;=N23,IF(ISBLANK(S23),"-",S23),"-")))),"-"))</f>
        <v>0.0</v>
      </c>
      <c r="AD23" s="130">
        <f>IF(OR(AB23="",AE23=""),"-",IF(OR(ISNUMBER(SEARCH("4 Günlük",AE23)),ISNUMBER(SEARCH("7 Günlük",AE23)),ISNUMBER(SEARCH("Trendyol Satış Fiyatı",AE23))),IF(AB23&gt;=I23,U23,IF(AND(AB23&gt;=K23,AB23&lt;=J23),V23,IF(AND(AB23&gt;=M23,AB23&lt;=L23),W23,IF(AB23&lt;=N23,X23,"-")))),"-"))</f>
        <v>0.0</v>
      </c>
      <c r="AE23" s="132"/>
      <c r="AF23" s="134"/>
      <c r="AG23" s="136"/>
      <c r="AH23" s="138"/>
      <c r="AI23" s="140" t="inlineStr">
        <is>
          <t>28e1d9461a2c0f35104ce2f1e453ac97</t>
        </is>
      </c>
    </row>
    <row r="24">
      <c r="A24" s="72" t="inlineStr">
        <is>
          <t>200X300 CM ATATÜRK BASKILI TÜRK BAYRAĞI ATATÜRK POSTERİ RAŞEL KUMAŞ</t>
        </is>
      </c>
      <c r="B24" s="74" t="inlineStr">
        <is>
          <t>ATA200X300R</t>
        </is>
      </c>
      <c r="C24" s="76" t="inlineStr">
        <is>
          <t/>
        </is>
      </c>
      <c r="D24" s="78"/>
      <c r="E24" s="80" t="inlineStr">
        <is>
          <t>ATA200X300R</t>
        </is>
      </c>
      <c r="F24" s="82" t="inlineStr">
        <is>
          <t>Bayrak</t>
        </is>
      </c>
      <c r="G24" s="84" t="inlineStr">
        <is>
          <t>Raşel kumaş</t>
        </is>
      </c>
      <c r="H24" s="86" t="n">
        <v>10.0</v>
      </c>
      <c r="I24" s="88" t="n">
        <v>862.62</v>
      </c>
      <c r="J24" s="90" t="n">
        <v>862.61</v>
      </c>
      <c r="K24" s="92" t="n">
        <v>836.28</v>
      </c>
      <c r="L24" s="94" t="n">
        <v>836.27</v>
      </c>
      <c r="M24" s="96" t="n">
        <v>812.55</v>
      </c>
      <c r="N24" s="98" t="n">
        <v>812.54</v>
      </c>
      <c r="O24" s="100"/>
      <c r="P24" s="102"/>
      <c r="Q24" s="104"/>
      <c r="R24" s="106"/>
      <c r="S24" s="108"/>
      <c r="T24" s="110" t="inlineStr">
        <is>
          <t>26 Haziran 08.00-30 Haziran 07.59</t>
        </is>
      </c>
      <c r="U24" s="112" t="n">
        <v>19.0</v>
      </c>
      <c r="V24" s="114" t="n">
        <v>15.8</v>
      </c>
      <c r="W24" s="116" t="n">
        <v>14.9</v>
      </c>
      <c r="X24" s="118" t="n">
        <v>14.0</v>
      </c>
      <c r="Y24" s="120" t="n">
        <v>925.0</v>
      </c>
      <c r="Z24" s="122" t="n">
        <v>19.0</v>
      </c>
      <c r="AA24" s="124" t="n">
        <v>925.0</v>
      </c>
      <c r="AB24" s="126"/>
      <c r="AC24" s="128">
        <f>IF(OR(AB24="",AE24=""),"-",IF(OR(ISNUMBER(SEARCH("3 Günlük",AE24)),ISNUMBER(SEARCH("7 Günlük",AE24)),ISNUMBER(SEARCH("Trendyol Satış Fiyatı",AE24))),IF(AB24&gt;=I24,IF(ISBLANK(P24),"-",P24),IF(AND(AB24&gt;=K24,AB24&lt;=J24),IF(ISBLANK(Q24),"-",Q24),IF(AND(AB24&gt;=M24,AB24&lt;=L24),IF(ISBLANK(R24),"-",R24),IF(AB24&lt;=N24,IF(ISBLANK(S24),"-",S24),"-")))),"-"))</f>
        <v>0.0</v>
      </c>
      <c r="AD24" s="130">
        <f>IF(OR(AB24="",AE24=""),"-",IF(OR(ISNUMBER(SEARCH("4 Günlük",AE24)),ISNUMBER(SEARCH("7 Günlük",AE24)),ISNUMBER(SEARCH("Trendyol Satış Fiyatı",AE24))),IF(AB24&gt;=I24,U24,IF(AND(AB24&gt;=K24,AB24&lt;=J24),V24,IF(AND(AB24&gt;=M24,AB24&lt;=L24),W24,IF(AB24&lt;=N24,X24,"-")))),"-"))</f>
        <v>0.0</v>
      </c>
      <c r="AE24" s="132"/>
      <c r="AF24" s="134"/>
      <c r="AG24" s="136"/>
      <c r="AH24" s="138"/>
      <c r="AI24" s="140" t="inlineStr">
        <is>
          <t>28e1d9461a2c0f35104ce2f1e453ac97</t>
        </is>
      </c>
    </row>
    <row r="25">
      <c r="A25" s="72" t="inlineStr">
        <is>
          <t>Atatürk Baskılı Türk Bayrağı Atatürk Posteri 70x105 Cm Raşel Kumaş Dijital Baskı</t>
        </is>
      </c>
      <c r="B25" s="74" t="inlineStr">
        <is>
          <t>ATA70X105R</t>
        </is>
      </c>
      <c r="C25" s="76" t="inlineStr">
        <is>
          <t/>
        </is>
      </c>
      <c r="D25" s="78"/>
      <c r="E25" s="80" t="inlineStr">
        <is>
          <t>ATA70X105R</t>
        </is>
      </c>
      <c r="F25" s="82" t="inlineStr">
        <is>
          <t>Bayrak</t>
        </is>
      </c>
      <c r="G25" s="84" t="inlineStr">
        <is>
          <t>Raşel kumaş</t>
        </is>
      </c>
      <c r="H25" s="86" t="n">
        <v>15.0</v>
      </c>
      <c r="I25" s="88" t="n">
        <v>130.77</v>
      </c>
      <c r="J25" s="90" t="n">
        <v>130.76</v>
      </c>
      <c r="K25" s="92" t="n">
        <v>122.07</v>
      </c>
      <c r="L25" s="94" t="n">
        <v>122.06</v>
      </c>
      <c r="M25" s="96" t="n">
        <v>111.51</v>
      </c>
      <c r="N25" s="98" t="n">
        <v>111.5</v>
      </c>
      <c r="O25" s="100"/>
      <c r="P25" s="102"/>
      <c r="Q25" s="104"/>
      <c r="R25" s="106"/>
      <c r="S25" s="108"/>
      <c r="T25" s="110" t="inlineStr">
        <is>
          <t>26 Haziran 08.00-30 Haziran 07.59</t>
        </is>
      </c>
      <c r="U25" s="112" t="n">
        <v>19.0</v>
      </c>
      <c r="V25" s="114" t="n">
        <v>15.0</v>
      </c>
      <c r="W25" s="116" t="n">
        <v>12.8</v>
      </c>
      <c r="X25" s="118" t="n">
        <v>9.8</v>
      </c>
      <c r="Y25" s="120" t="n">
        <v>180.0</v>
      </c>
      <c r="Z25" s="122" t="n">
        <v>19.0</v>
      </c>
      <c r="AA25" s="124" t="n">
        <v>180.0</v>
      </c>
      <c r="AB25" s="126"/>
      <c r="AC25" s="128">
        <f>IF(OR(AB25="",AE25=""),"-",IF(OR(ISNUMBER(SEARCH("3 Günlük",AE25)),ISNUMBER(SEARCH("7 Günlük",AE25)),ISNUMBER(SEARCH("Trendyol Satış Fiyatı",AE25))),IF(AB25&gt;=I25,IF(ISBLANK(P25),"-",P25),IF(AND(AB25&gt;=K25,AB25&lt;=J25),IF(ISBLANK(Q25),"-",Q25),IF(AND(AB25&gt;=M25,AB25&lt;=L25),IF(ISBLANK(R25),"-",R25),IF(AB25&lt;=N25,IF(ISBLANK(S25),"-",S25),"-")))),"-"))</f>
        <v>0.0</v>
      </c>
      <c r="AD25" s="130">
        <f>IF(OR(AB25="",AE25=""),"-",IF(OR(ISNUMBER(SEARCH("4 Günlük",AE25)),ISNUMBER(SEARCH("7 Günlük",AE25)),ISNUMBER(SEARCH("Trendyol Satış Fiyatı",AE25))),IF(AB25&gt;=I25,U25,IF(AND(AB25&gt;=K25,AB25&lt;=J25),V25,IF(AND(AB25&gt;=M25,AB25&lt;=L25),W25,IF(AB25&lt;=N25,X25,"-")))),"-"))</f>
        <v>0.0</v>
      </c>
      <c r="AE25" s="132"/>
      <c r="AF25" s="134"/>
      <c r="AG25" s="136"/>
      <c r="AH25" s="138"/>
      <c r="AI25" s="140" t="inlineStr">
        <is>
          <t>28e1d9461a2c0f35104ce2f1e453ac97</t>
        </is>
      </c>
    </row>
    <row r="26">
      <c r="A26" s="72" t="inlineStr">
        <is>
          <t>120x180 Cm Kumaş Türk Bayrağı</t>
        </is>
      </c>
      <c r="B26" s="74" t="inlineStr">
        <is>
          <t>TB120X180A</t>
        </is>
      </c>
      <c r="C26" s="76" t="inlineStr">
        <is>
          <t/>
        </is>
      </c>
      <c r="D26" s="78"/>
      <c r="E26" s="80" t="inlineStr">
        <is>
          <t>TB120X180A</t>
        </is>
      </c>
      <c r="F26" s="82" t="inlineStr">
        <is>
          <t>Bayrak</t>
        </is>
      </c>
      <c r="G26" s="84" t="inlineStr">
        <is>
          <t>Alpaka</t>
        </is>
      </c>
      <c r="H26" s="86" t="n">
        <v>93.0</v>
      </c>
      <c r="I26" s="88" t="n">
        <v>415.84</v>
      </c>
      <c r="J26" s="90" t="n">
        <v>415.83</v>
      </c>
      <c r="K26" s="92" t="n">
        <v>405.51</v>
      </c>
      <c r="L26" s="94" t="n">
        <v>405.5</v>
      </c>
      <c r="M26" s="96" t="n">
        <v>391.58</v>
      </c>
      <c r="N26" s="98" t="n">
        <v>391.57</v>
      </c>
      <c r="O26" s="100"/>
      <c r="P26" s="102"/>
      <c r="Q26" s="104"/>
      <c r="R26" s="106"/>
      <c r="S26" s="108"/>
      <c r="T26" s="110" t="inlineStr">
        <is>
          <t>26 Haziran 08.00-30 Haziran 07.59</t>
        </is>
      </c>
      <c r="U26" s="112" t="n">
        <v>19.0</v>
      </c>
      <c r="V26" s="114" t="n">
        <v>15.9</v>
      </c>
      <c r="W26" s="116" t="n">
        <v>15.2</v>
      </c>
      <c r="X26" s="118" t="n">
        <v>14.1</v>
      </c>
      <c r="Y26" s="120" t="n">
        <v>440.0</v>
      </c>
      <c r="Z26" s="122" t="n">
        <v>19.0</v>
      </c>
      <c r="AA26" s="124" t="n">
        <v>440.0</v>
      </c>
      <c r="AB26" s="126"/>
      <c r="AC26" s="128">
        <f>IF(OR(AB26="",AE26=""),"-",IF(OR(ISNUMBER(SEARCH("3 Günlük",AE26)),ISNUMBER(SEARCH("7 Günlük",AE26)),ISNUMBER(SEARCH("Trendyol Satış Fiyatı",AE26))),IF(AB26&gt;=I26,IF(ISBLANK(P26),"-",P26),IF(AND(AB26&gt;=K26,AB26&lt;=J26),IF(ISBLANK(Q26),"-",Q26),IF(AND(AB26&gt;=M26,AB26&lt;=L26),IF(ISBLANK(R26),"-",R26),IF(AB26&lt;=N26,IF(ISBLANK(S26),"-",S26),"-")))),"-"))</f>
        <v>0.0</v>
      </c>
      <c r="AD26" s="130">
        <f>IF(OR(AB26="",AE26=""),"-",IF(OR(ISNUMBER(SEARCH("4 Günlük",AE26)),ISNUMBER(SEARCH("7 Günlük",AE26)),ISNUMBER(SEARCH("Trendyol Satış Fiyatı",AE26))),IF(AB26&gt;=I26,U26,IF(AND(AB26&gt;=K26,AB26&lt;=J26),V26,IF(AND(AB26&gt;=M26,AB26&lt;=L26),W26,IF(AB26&lt;=N26,X26,"-")))),"-"))</f>
        <v>0.0</v>
      </c>
      <c r="AE26" s="132"/>
      <c r="AF26" s="134"/>
      <c r="AG26" s="136"/>
      <c r="AH26" s="138"/>
      <c r="AI26" s="140" t="inlineStr">
        <is>
          <t>28e1d9461a2c0f35104ce2f1e453ac97</t>
        </is>
      </c>
    </row>
    <row r="27">
      <c r="A27" s="72" t="inlineStr">
        <is>
          <t>Bkt-110 150x225 Cm Türk Bayrağı</t>
        </is>
      </c>
      <c r="B27" s="74" t="inlineStr">
        <is>
          <t>8694430152259</t>
        </is>
      </c>
      <c r="C27" s="76" t="inlineStr">
        <is>
          <t/>
        </is>
      </c>
      <c r="D27" s="78"/>
      <c r="E27" s="80" t="inlineStr">
        <is>
          <t>113110</t>
        </is>
      </c>
      <c r="F27" s="82" t="inlineStr">
        <is>
          <t>Bayrak</t>
        </is>
      </c>
      <c r="G27" s="84" t="inlineStr">
        <is>
          <t>Buket</t>
        </is>
      </c>
      <c r="H27" s="86" t="n">
        <v>45.0</v>
      </c>
      <c r="I27" s="88" t="n">
        <v>478.8</v>
      </c>
      <c r="J27" s="90" t="n">
        <v>478.79</v>
      </c>
      <c r="K27" s="92" t="n">
        <v>454.24</v>
      </c>
      <c r="L27" s="94" t="n">
        <v>454.23</v>
      </c>
      <c r="M27" s="96" t="n">
        <v>434.24</v>
      </c>
      <c r="N27" s="98" t="n">
        <v>434.23</v>
      </c>
      <c r="O27" s="100"/>
      <c r="P27" s="102"/>
      <c r="Q27" s="104"/>
      <c r="R27" s="106"/>
      <c r="S27" s="108"/>
      <c r="T27" s="110" t="inlineStr">
        <is>
          <t>26 Haziran 08.00-30 Haziran 07.59</t>
        </is>
      </c>
      <c r="U27" s="112" t="n">
        <v>19.0</v>
      </c>
      <c r="V27" s="114" t="n">
        <v>15.4</v>
      </c>
      <c r="W27" s="116" t="n">
        <v>13.8</v>
      </c>
      <c r="X27" s="118" t="n">
        <v>12.3</v>
      </c>
      <c r="Y27" s="120" t="n">
        <v>600.0</v>
      </c>
      <c r="Z27" s="122" t="n">
        <v>19.0</v>
      </c>
      <c r="AA27" s="124" t="n">
        <v>600.0</v>
      </c>
      <c r="AB27" s="126"/>
      <c r="AC27" s="128">
        <f>IF(OR(AB27="",AE27=""),"-",IF(OR(ISNUMBER(SEARCH("3 Günlük",AE27)),ISNUMBER(SEARCH("7 Günlük",AE27)),ISNUMBER(SEARCH("Trendyol Satış Fiyatı",AE27))),IF(AB27&gt;=I27,IF(ISBLANK(P27),"-",P27),IF(AND(AB27&gt;=K27,AB27&lt;=J27),IF(ISBLANK(Q27),"-",Q27),IF(AND(AB27&gt;=M27,AB27&lt;=L27),IF(ISBLANK(R27),"-",R27),IF(AB27&lt;=N27,IF(ISBLANK(S27),"-",S27),"-")))),"-"))</f>
        <v>0.0</v>
      </c>
      <c r="AD27" s="130">
        <f>IF(OR(AB27="",AE27=""),"-",IF(OR(ISNUMBER(SEARCH("4 Günlük",AE27)),ISNUMBER(SEARCH("7 Günlük",AE27)),ISNUMBER(SEARCH("Trendyol Satış Fiyatı",AE27))),IF(AB27&gt;=I27,U27,IF(AND(AB27&gt;=K27,AB27&lt;=J27),V27,IF(AND(AB27&gt;=M27,AB27&lt;=L27),W27,IF(AB27&lt;=N27,X27,"-")))),"-"))</f>
        <v>0.0</v>
      </c>
      <c r="AE27" s="132"/>
      <c r="AF27" s="134"/>
      <c r="AG27" s="136"/>
      <c r="AH27" s="138"/>
      <c r="AI27" s="140" t="inlineStr">
        <is>
          <t>28e1d9461a2c0f35104ce2f1e453ac97</t>
        </is>
      </c>
    </row>
    <row r="28">
      <c r="A28" s="72" t="inlineStr">
        <is>
          <t>Bkt-106 70x105 Cm Türk Bayrağı</t>
        </is>
      </c>
      <c r="B28" s="74" t="inlineStr">
        <is>
          <t>8694430701051</t>
        </is>
      </c>
      <c r="C28" s="76"/>
      <c r="D28" s="78"/>
      <c r="E28" s="80" t="inlineStr">
        <is>
          <t>PRA-177361-7830</t>
        </is>
      </c>
      <c r="F28" s="82" t="inlineStr">
        <is>
          <t>Bayrak</t>
        </is>
      </c>
      <c r="G28" s="84" t="inlineStr">
        <is>
          <t>Buket</t>
        </is>
      </c>
      <c r="H28" s="86" t="n">
        <v>991.0</v>
      </c>
      <c r="I28" s="88" t="n">
        <v>169.39</v>
      </c>
      <c r="J28" s="90" t="n">
        <v>169.38</v>
      </c>
      <c r="K28" s="92" t="n">
        <v>162.19</v>
      </c>
      <c r="L28" s="94" t="n">
        <v>162.18</v>
      </c>
      <c r="M28" s="96" t="n">
        <v>152.56</v>
      </c>
      <c r="N28" s="98" t="n">
        <v>152.55</v>
      </c>
      <c r="O28" s="100"/>
      <c r="P28" s="102"/>
      <c r="Q28" s="104"/>
      <c r="R28" s="106"/>
      <c r="S28" s="108"/>
      <c r="T28" s="110" t="inlineStr">
        <is>
          <t>26 Haziran 08.00-30 Haziran 07.59</t>
        </is>
      </c>
      <c r="U28" s="112" t="n">
        <v>19.0</v>
      </c>
      <c r="V28" s="114" t="n">
        <v>12.8</v>
      </c>
      <c r="W28" s="116" t="n">
        <v>11.4</v>
      </c>
      <c r="X28" s="118" t="n">
        <v>9.3</v>
      </c>
      <c r="Y28" s="120" t="n">
        <v>250.0</v>
      </c>
      <c r="Z28" s="122" t="n">
        <v>19.0</v>
      </c>
      <c r="AA28" s="124" t="n">
        <v>250.0</v>
      </c>
      <c r="AB28" s="126"/>
      <c r="AC28" s="128">
        <f>IF(OR(AB28="",AE28=""),"-",IF(OR(ISNUMBER(SEARCH("3 Günlük",AE28)),ISNUMBER(SEARCH("7 Günlük",AE28)),ISNUMBER(SEARCH("Trendyol Satış Fiyatı",AE28))),IF(AB28&gt;=I28,IF(ISBLANK(P28),"-",P28),IF(AND(AB28&gt;=K28,AB28&lt;=J28),IF(ISBLANK(Q28),"-",Q28),IF(AND(AB28&gt;=M28,AB28&lt;=L28),IF(ISBLANK(R28),"-",R28),IF(AB28&lt;=N28,IF(ISBLANK(S28),"-",S28),"-")))),"-"))</f>
        <v>0.0</v>
      </c>
      <c r="AD28" s="130">
        <f>IF(OR(AB28="",AE28=""),"-",IF(OR(ISNUMBER(SEARCH("4 Günlük",AE28)),ISNUMBER(SEARCH("7 Günlük",AE28)),ISNUMBER(SEARCH("Trendyol Satış Fiyatı",AE28))),IF(AB28&gt;=I28,U28,IF(AND(AB28&gt;=K28,AB28&lt;=J28),V28,IF(AND(AB28&gt;=M28,AB28&lt;=L28),W28,IF(AB28&lt;=N28,X28,"-")))),"-"))</f>
        <v>0.0</v>
      </c>
      <c r="AE28" s="132"/>
      <c r="AF28" s="134"/>
      <c r="AG28" s="136"/>
      <c r="AH28" s="138"/>
      <c r="AI28" s="140" t="inlineStr">
        <is>
          <t>28e1d9461a2c0f35104ce2f1e453ac97</t>
        </is>
      </c>
    </row>
    <row r="29">
      <c r="A29" s="72" t="inlineStr">
        <is>
          <t>50x75cm Kalpaklı Atatürk Raşel Kumaş Sopalı Türk Bayrağı – Dayanıklı ve Kaliteli Dijital Baskı</t>
        </is>
      </c>
      <c r="B29" s="74" t="inlineStr">
        <is>
          <t>86962741224212</t>
        </is>
      </c>
      <c r="C29" s="76" t="inlineStr">
        <is>
          <t>ATB-50x75-SPL</t>
        </is>
      </c>
      <c r="D29" s="78"/>
      <c r="E29" s="80" t="inlineStr">
        <is>
          <t>ATB-50x75-SPL</t>
        </is>
      </c>
      <c r="F29" s="82" t="inlineStr">
        <is>
          <t>Bayrak</t>
        </is>
      </c>
      <c r="G29" s="84" t="inlineStr">
        <is>
          <t>AKYILDIZ store</t>
        </is>
      </c>
      <c r="H29" s="86" t="n">
        <v>74.0</v>
      </c>
      <c r="I29" s="88" t="n">
        <v>155.43</v>
      </c>
      <c r="J29" s="90" t="n">
        <v>155.42</v>
      </c>
      <c r="K29" s="92" t="n">
        <v>137.48</v>
      </c>
      <c r="L29" s="94" t="n">
        <v>137.47</v>
      </c>
      <c r="M29" s="96" t="n">
        <v>116.57</v>
      </c>
      <c r="N29" s="98" t="n">
        <v>116.56</v>
      </c>
      <c r="O29" s="100"/>
      <c r="P29" s="102"/>
      <c r="Q29" s="104"/>
      <c r="R29" s="106"/>
      <c r="S29" s="108"/>
      <c r="T29" s="110" t="inlineStr">
        <is>
          <t>26 Haziran 08.00-30 Haziran 07.59</t>
        </is>
      </c>
      <c r="U29" s="112" t="n">
        <v>19.0</v>
      </c>
      <c r="V29" s="114" t="n">
        <v>13.7</v>
      </c>
      <c r="W29" s="116" t="n">
        <v>9.6</v>
      </c>
      <c r="X29" s="118" t="n">
        <v>5.0</v>
      </c>
      <c r="Y29" s="120" t="n">
        <v>179.55</v>
      </c>
      <c r="Z29" s="122" t="n">
        <v>19.0</v>
      </c>
      <c r="AA29" s="124" t="n">
        <v>189.0</v>
      </c>
      <c r="AB29" s="126"/>
      <c r="AC29" s="128">
        <f>IF(OR(AB29="",AE29=""),"-",IF(OR(ISNUMBER(SEARCH("3 Günlük",AE29)),ISNUMBER(SEARCH("7 Günlük",AE29)),ISNUMBER(SEARCH("Trendyol Satış Fiyatı",AE29))),IF(AB29&gt;=I29,IF(ISBLANK(P29),"-",P29),IF(AND(AB29&gt;=K29,AB29&lt;=J29),IF(ISBLANK(Q29),"-",Q29),IF(AND(AB29&gt;=M29,AB29&lt;=L29),IF(ISBLANK(R29),"-",R29),IF(AB29&lt;=N29,IF(ISBLANK(S29),"-",S29),"-")))),"-"))</f>
        <v>0.0</v>
      </c>
      <c r="AD29" s="130">
        <f>IF(OR(AB29="",AE29=""),"-",IF(OR(ISNUMBER(SEARCH("4 Günlük",AE29)),ISNUMBER(SEARCH("7 Günlük",AE29)),ISNUMBER(SEARCH("Trendyol Satış Fiyatı",AE29))),IF(AB29&gt;=I29,U29,IF(AND(AB29&gt;=K29,AB29&lt;=J29),V29,IF(AND(AB29&gt;=M29,AB29&lt;=L29),W29,IF(AB29&lt;=N29,X29,"-")))),"-"))</f>
        <v>0.0</v>
      </c>
      <c r="AE29" s="132"/>
      <c r="AF29" s="134"/>
      <c r="AG29" s="136"/>
      <c r="AH29" s="138"/>
      <c r="AI29" s="140" t="inlineStr">
        <is>
          <t>28e1d9461a2c0f35104ce2f1e453ac97</t>
        </is>
      </c>
    </row>
    <row r="30">
      <c r="A30" s="72" t="inlineStr">
        <is>
          <t>80x120 cm Atatürk Baskılı Türk Bayrağı – Raşel Kumaş, Çift Dikiş, Solmaz Renk</t>
        </is>
      </c>
      <c r="B30" s="74" t="inlineStr">
        <is>
          <t>86976544124228</t>
        </is>
      </c>
      <c r="C30" s="76"/>
      <c r="D30" s="78"/>
      <c r="E30" s="80" t="inlineStr">
        <is>
          <t>ATB-80x120-RS</t>
        </is>
      </c>
      <c r="F30" s="82" t="inlineStr">
        <is>
          <t>Bayrak</t>
        </is>
      </c>
      <c r="G30" s="84" t="inlineStr">
        <is>
          <t>AKYILDIZ store</t>
        </is>
      </c>
      <c r="H30" s="86" t="n">
        <v>15.0</v>
      </c>
      <c r="I30" s="88" t="n">
        <v>241.89</v>
      </c>
      <c r="J30" s="90" t="n">
        <v>241.88</v>
      </c>
      <c r="K30" s="92" t="n">
        <v>228.34</v>
      </c>
      <c r="L30" s="94" t="n">
        <v>228.33</v>
      </c>
      <c r="M30" s="96" t="n">
        <v>210.08</v>
      </c>
      <c r="N30" s="98" t="n">
        <v>210.07</v>
      </c>
      <c r="O30" s="100"/>
      <c r="P30" s="102"/>
      <c r="Q30" s="104"/>
      <c r="R30" s="106"/>
      <c r="S30" s="108"/>
      <c r="T30" s="110" t="inlineStr">
        <is>
          <t>26 Haziran 08.00-30 Haziran 07.59</t>
        </is>
      </c>
      <c r="U30" s="112" t="n">
        <v>19.0</v>
      </c>
      <c r="V30" s="114" t="n">
        <v>15.2</v>
      </c>
      <c r="W30" s="116" t="n">
        <v>13.4</v>
      </c>
      <c r="X30" s="118" t="n">
        <v>10.6</v>
      </c>
      <c r="Y30" s="120" t="n">
        <v>268.33</v>
      </c>
      <c r="Z30" s="122" t="n">
        <v>19.0</v>
      </c>
      <c r="AA30" s="124" t="n">
        <v>282.45</v>
      </c>
      <c r="AB30" s="126"/>
      <c r="AC30" s="128">
        <f>IF(OR(AB30="",AE30=""),"-",IF(OR(ISNUMBER(SEARCH("3 Günlük",AE30)),ISNUMBER(SEARCH("7 Günlük",AE30)),ISNUMBER(SEARCH("Trendyol Satış Fiyatı",AE30))),IF(AB30&gt;=I30,IF(ISBLANK(P30),"-",P30),IF(AND(AB30&gt;=K30,AB30&lt;=J30),IF(ISBLANK(Q30),"-",Q30),IF(AND(AB30&gt;=M30,AB30&lt;=L30),IF(ISBLANK(R30),"-",R30),IF(AB30&lt;=N30,IF(ISBLANK(S30),"-",S30),"-")))),"-"))</f>
        <v>0.0</v>
      </c>
      <c r="AD30" s="130">
        <f>IF(OR(AB30="",AE30=""),"-",IF(OR(ISNUMBER(SEARCH("4 Günlük",AE30)),ISNUMBER(SEARCH("7 Günlük",AE30)),ISNUMBER(SEARCH("Trendyol Satış Fiyatı",AE30))),IF(AB30&gt;=I30,U30,IF(AND(AB30&gt;=K30,AB30&lt;=J30),V30,IF(AND(AB30&gt;=M30,AB30&lt;=L30),W30,IF(AB30&lt;=N30,X30,"-")))),"-"))</f>
        <v>0.0</v>
      </c>
      <c r="AE30" s="132"/>
      <c r="AF30" s="134"/>
      <c r="AG30" s="136"/>
      <c r="AH30" s="138"/>
      <c r="AI30" s="140" t="inlineStr">
        <is>
          <t>28e1d9461a2c0f35104ce2f1e453ac97</t>
        </is>
      </c>
    </row>
    <row r="31">
      <c r="A31" s="72" t="inlineStr">
        <is>
          <t>60x90 cm Atatürk Baskılı Türk Bayrağı – Raşel Kumaş, Çift Dikiş, Solmaz Renk</t>
        </is>
      </c>
      <c r="B31" s="74" t="inlineStr">
        <is>
          <t>8697345221228</t>
        </is>
      </c>
      <c r="C31" s="76" t="inlineStr">
        <is>
          <t/>
        </is>
      </c>
      <c r="D31" s="78"/>
      <c r="E31" s="80" t="inlineStr">
        <is>
          <t>ATB-60x90-RS</t>
        </is>
      </c>
      <c r="F31" s="82" t="inlineStr">
        <is>
          <t>Bayrak</t>
        </is>
      </c>
      <c r="G31" s="84" t="inlineStr">
        <is>
          <t>AKYILDIZ store</t>
        </is>
      </c>
      <c r="H31" s="86" t="n">
        <v>16.0</v>
      </c>
      <c r="I31" s="88" t="n">
        <v>153.47</v>
      </c>
      <c r="J31" s="90" t="n">
        <v>153.46</v>
      </c>
      <c r="K31" s="92" t="n">
        <v>134.99</v>
      </c>
      <c r="L31" s="94" t="n">
        <v>134.98</v>
      </c>
      <c r="M31" s="96" t="n">
        <v>124.01</v>
      </c>
      <c r="N31" s="98" t="n">
        <v>124.0</v>
      </c>
      <c r="O31" s="100"/>
      <c r="P31" s="102"/>
      <c r="Q31" s="104"/>
      <c r="R31" s="106"/>
      <c r="S31" s="108"/>
      <c r="T31" s="110" t="inlineStr">
        <is>
          <t>26 Haziran 08.00-30 Haziran 07.59</t>
        </is>
      </c>
      <c r="U31" s="112" t="n">
        <v>19.0</v>
      </c>
      <c r="V31" s="114" t="n">
        <v>14.5</v>
      </c>
      <c r="W31" s="116" t="n">
        <v>10.3</v>
      </c>
      <c r="X31" s="118" t="n">
        <v>7.2</v>
      </c>
      <c r="Y31" s="120" t="n">
        <v>145.79</v>
      </c>
      <c r="Z31" s="122" t="n">
        <v>14.5</v>
      </c>
      <c r="AA31" s="124" t="n">
        <v>153.46</v>
      </c>
      <c r="AB31" s="126"/>
      <c r="AC31" s="128">
        <f>IF(OR(AB31="",AE31=""),"-",IF(OR(ISNUMBER(SEARCH("3 Günlük",AE31)),ISNUMBER(SEARCH("7 Günlük",AE31)),ISNUMBER(SEARCH("Trendyol Satış Fiyatı",AE31))),IF(AB31&gt;=I31,IF(ISBLANK(P31),"-",P31),IF(AND(AB31&gt;=K31,AB31&lt;=J31),IF(ISBLANK(Q31),"-",Q31),IF(AND(AB31&gt;=M31,AB31&lt;=L31),IF(ISBLANK(R31),"-",R31),IF(AB31&lt;=N31,IF(ISBLANK(S31),"-",S31),"-")))),"-"))</f>
        <v>0.0</v>
      </c>
      <c r="AD31" s="130">
        <f>IF(OR(AB31="",AE31=""),"-",IF(OR(ISNUMBER(SEARCH("4 Günlük",AE31)),ISNUMBER(SEARCH("7 Günlük",AE31)),ISNUMBER(SEARCH("Trendyol Satış Fiyatı",AE31))),IF(AB31&gt;=I31,U31,IF(AND(AB31&gt;=K31,AB31&lt;=J31),V31,IF(AND(AB31&gt;=M31,AB31&lt;=L31),W31,IF(AB31&lt;=N31,X31,"-")))),"-"))</f>
        <v>0.0</v>
      </c>
      <c r="AE31" s="132" t="inlineStr">
        <is>
          <t>4 Günlük Fiyat</t>
        </is>
      </c>
      <c r="AF31" s="134"/>
      <c r="AG31" s="136" t="inlineStr">
        <is>
          <t>rh_4fb6e64e261f664fc5bec014a9d485a7</t>
        </is>
      </c>
      <c r="AH31" s="138"/>
      <c r="AI31" s="140" t="inlineStr">
        <is>
          <t>28e1d9461a2c0f35104ce2f1e453ac97</t>
        </is>
      </c>
    </row>
    <row r="32">
      <c r="A32" s="72" t="inlineStr">
        <is>
          <t>25 Adet 20x30 Cm - Kumaş Sopalı Bez Türk Bayrağı - ince değilDİR</t>
        </is>
      </c>
      <c r="B32" s="74" t="inlineStr">
        <is>
          <t>DZYNSPT20X30A25A</t>
        </is>
      </c>
      <c r="C32" s="76"/>
      <c r="D32" s="78"/>
      <c r="E32" s="80" t="inlineStr">
        <is>
          <t>STB20X30A25A</t>
        </is>
      </c>
      <c r="F32" s="82" t="inlineStr">
        <is>
          <t>Bayrak</t>
        </is>
      </c>
      <c r="G32" s="84" t="inlineStr">
        <is>
          <t>Alpaka</t>
        </is>
      </c>
      <c r="H32" s="86" t="n">
        <v>980.0</v>
      </c>
      <c r="I32" s="88" t="n">
        <v>493.17</v>
      </c>
      <c r="J32" s="90" t="n">
        <v>493.16</v>
      </c>
      <c r="K32" s="92" t="n">
        <v>478.33</v>
      </c>
      <c r="L32" s="94" t="n">
        <v>478.32</v>
      </c>
      <c r="M32" s="96" t="n">
        <v>458.31</v>
      </c>
      <c r="N32" s="98" t="n">
        <v>458.3</v>
      </c>
      <c r="O32" s="100"/>
      <c r="P32" s="102"/>
      <c r="Q32" s="104"/>
      <c r="R32" s="106"/>
      <c r="S32" s="108"/>
      <c r="T32" s="110" t="inlineStr">
        <is>
          <t>26 Haziran 08.00-30 Haziran 07.59</t>
        </is>
      </c>
      <c r="U32" s="112" t="n">
        <v>19.0</v>
      </c>
      <c r="V32" s="114" t="n">
        <v>15.8</v>
      </c>
      <c r="W32" s="116" t="n">
        <v>14.9</v>
      </c>
      <c r="X32" s="118" t="n">
        <v>13.6</v>
      </c>
      <c r="Y32" s="120" t="n">
        <v>570.0</v>
      </c>
      <c r="Z32" s="122" t="n">
        <v>19.0</v>
      </c>
      <c r="AA32" s="124" t="n">
        <v>570.0</v>
      </c>
      <c r="AB32" s="126"/>
      <c r="AC32" s="128">
        <f>IF(OR(AB32="",AE32=""),"-",IF(OR(ISNUMBER(SEARCH("3 Günlük",AE32)),ISNUMBER(SEARCH("7 Günlük",AE32)),ISNUMBER(SEARCH("Trendyol Satış Fiyatı",AE32))),IF(AB32&gt;=I32,IF(ISBLANK(P32),"-",P32),IF(AND(AB32&gt;=K32,AB32&lt;=J32),IF(ISBLANK(Q32),"-",Q32),IF(AND(AB32&gt;=M32,AB32&lt;=L32),IF(ISBLANK(R32),"-",R32),IF(AB32&lt;=N32,IF(ISBLANK(S32),"-",S32),"-")))),"-"))</f>
        <v>0.0</v>
      </c>
      <c r="AD32" s="130">
        <f>IF(OR(AB32="",AE32=""),"-",IF(OR(ISNUMBER(SEARCH("4 Günlük",AE32)),ISNUMBER(SEARCH("7 Günlük",AE32)),ISNUMBER(SEARCH("Trendyol Satış Fiyatı",AE32))),IF(AB32&gt;=I32,U32,IF(AND(AB32&gt;=K32,AB32&lt;=J32),V32,IF(AND(AB32&gt;=M32,AB32&lt;=L32),W32,IF(AB32&lt;=N32,X32,"-")))),"-"))</f>
        <v>0.0</v>
      </c>
      <c r="AE32" s="132"/>
      <c r="AF32" s="134"/>
      <c r="AG32" s="136"/>
      <c r="AH32" s="138"/>
      <c r="AI32" s="140" t="inlineStr">
        <is>
          <t>28e1d9461a2c0f35104ce2f1e453ac97</t>
        </is>
      </c>
    </row>
    <row r="33">
      <c r="A33" s="72" t="inlineStr">
        <is>
          <t>400x600 cm Dijital Atatürk Baskılı Türk Bayrağı – Raşel Kumaş, Çift Dikiş, Solmaz Renk</t>
        </is>
      </c>
      <c r="B33" s="74" t="inlineStr">
        <is>
          <t>869224621242</t>
        </is>
      </c>
      <c r="C33" s="76" t="inlineStr">
        <is>
          <t>ATB-400x600-RS</t>
        </is>
      </c>
      <c r="D33" s="78"/>
      <c r="E33" s="80" t="inlineStr">
        <is>
          <t>ATB-400x600-RS</t>
        </is>
      </c>
      <c r="F33" s="82" t="inlineStr">
        <is>
          <t>Bayrak</t>
        </is>
      </c>
      <c r="G33" s="84" t="inlineStr">
        <is>
          <t>AKYILDIZ store</t>
        </is>
      </c>
      <c r="H33" s="86" t="n">
        <v>3.0</v>
      </c>
      <c r="I33" s="88" t="n">
        <v>3002.17</v>
      </c>
      <c r="J33" s="90" t="n">
        <v>3002.16</v>
      </c>
      <c r="K33" s="92" t="n">
        <v>2736.64</v>
      </c>
      <c r="L33" s="94" t="n">
        <v>2736.63</v>
      </c>
      <c r="M33" s="96" t="n">
        <v>2385.08</v>
      </c>
      <c r="N33" s="98" t="n">
        <v>2385.07</v>
      </c>
      <c r="O33" s="100"/>
      <c r="P33" s="102"/>
      <c r="Q33" s="104"/>
      <c r="R33" s="106"/>
      <c r="S33" s="108"/>
      <c r="T33" s="110" t="inlineStr">
        <is>
          <t>26 Haziran 08.00-30 Haziran 07.59</t>
        </is>
      </c>
      <c r="U33" s="112" t="n">
        <v>19.0</v>
      </c>
      <c r="V33" s="114" t="n">
        <v>14.4</v>
      </c>
      <c r="W33" s="116" t="n">
        <v>11.4</v>
      </c>
      <c r="X33" s="118" t="n">
        <v>6.4</v>
      </c>
      <c r="Y33" s="120" t="n">
        <v>2265.82</v>
      </c>
      <c r="Z33" s="122" t="n">
        <v>6.4</v>
      </c>
      <c r="AA33" s="124" t="n">
        <v>2385.07</v>
      </c>
      <c r="AB33" s="126"/>
      <c r="AC33" s="128">
        <f>IF(OR(AB33="",AE33=""),"-",IF(OR(ISNUMBER(SEARCH("3 Günlük",AE33)),ISNUMBER(SEARCH("7 Günlük",AE33)),ISNUMBER(SEARCH("Trendyol Satış Fiyatı",AE33))),IF(AB33&gt;=I33,IF(ISBLANK(P33),"-",P33),IF(AND(AB33&gt;=K33,AB33&lt;=J33),IF(ISBLANK(Q33),"-",Q33),IF(AND(AB33&gt;=M33,AB33&lt;=L33),IF(ISBLANK(R33),"-",R33),IF(AB33&lt;=N33,IF(ISBLANK(S33),"-",S33),"-")))),"-"))</f>
        <v>0.0</v>
      </c>
      <c r="AD33" s="130">
        <f>IF(OR(AB33="",AE33=""),"-",IF(OR(ISNUMBER(SEARCH("4 Günlük",AE33)),ISNUMBER(SEARCH("7 Günlük",AE33)),ISNUMBER(SEARCH("Trendyol Satış Fiyatı",AE33))),IF(AB33&gt;=I33,U33,IF(AND(AB33&gt;=K33,AB33&lt;=J33),V33,IF(AND(AB33&gt;=M33,AB33&lt;=L33),W33,IF(AB33&lt;=N33,X33,"-")))),"-"))</f>
        <v>0.0</v>
      </c>
      <c r="AE33" s="132" t="inlineStr">
        <is>
          <t>4 Günlük Fiyat</t>
        </is>
      </c>
      <c r="AF33" s="134"/>
      <c r="AG33" s="136" t="inlineStr">
        <is>
          <t>rh_84307cbd5208ffa357732f287b2ea7bc</t>
        </is>
      </c>
      <c r="AH33" s="138"/>
      <c r="AI33" s="140" t="inlineStr">
        <is>
          <t>28e1d9461a2c0f35104ce2f1e453ac97</t>
        </is>
      </c>
    </row>
    <row r="34">
      <c r="A34" s="72" t="inlineStr">
        <is>
          <t>5 Adet 20x30 Cm - Bez Kumaş Sopalı Türk Bayrağı</t>
        </is>
      </c>
      <c r="B34" s="74" t="inlineStr">
        <is>
          <t>A20X30STB</t>
        </is>
      </c>
      <c r="C34" s="76"/>
      <c r="D34" s="78"/>
      <c r="E34" s="80" t="inlineStr">
        <is>
          <t>STB20X30A5</t>
        </is>
      </c>
      <c r="F34" s="82" t="inlineStr">
        <is>
          <t>Bayrak</t>
        </is>
      </c>
      <c r="G34" s="84" t="inlineStr">
        <is>
          <t>Alpaka</t>
        </is>
      </c>
      <c r="H34" s="86" t="n">
        <v>987.0</v>
      </c>
      <c r="I34" s="88" t="n">
        <v>140.79</v>
      </c>
      <c r="J34" s="90" t="n">
        <v>140.78</v>
      </c>
      <c r="K34" s="92" t="n">
        <v>131.19</v>
      </c>
      <c r="L34" s="94" t="n">
        <v>131.18</v>
      </c>
      <c r="M34" s="96" t="n">
        <v>122.59</v>
      </c>
      <c r="N34" s="98" t="n">
        <v>122.58</v>
      </c>
      <c r="O34" s="100"/>
      <c r="P34" s="102"/>
      <c r="Q34" s="104"/>
      <c r="R34" s="106"/>
      <c r="S34" s="108"/>
      <c r="T34" s="110" t="inlineStr">
        <is>
          <t>26 Haziran 08.00-30 Haziran 07.59</t>
        </is>
      </c>
      <c r="U34" s="112" t="n">
        <v>19.0</v>
      </c>
      <c r="V34" s="114" t="n">
        <v>14.8</v>
      </c>
      <c r="W34" s="116" t="n">
        <v>12.6</v>
      </c>
      <c r="X34" s="118" t="n">
        <v>10.4</v>
      </c>
      <c r="Y34" s="120" t="n">
        <v>180.0</v>
      </c>
      <c r="Z34" s="122" t="n">
        <v>19.0</v>
      </c>
      <c r="AA34" s="124" t="n">
        <v>180.0</v>
      </c>
      <c r="AB34" s="126"/>
      <c r="AC34" s="128">
        <f>IF(OR(AB34="",AE34=""),"-",IF(OR(ISNUMBER(SEARCH("3 Günlük",AE34)),ISNUMBER(SEARCH("7 Günlük",AE34)),ISNUMBER(SEARCH("Trendyol Satış Fiyatı",AE34))),IF(AB34&gt;=I34,IF(ISBLANK(P34),"-",P34),IF(AND(AB34&gt;=K34,AB34&lt;=J34),IF(ISBLANK(Q34),"-",Q34),IF(AND(AB34&gt;=M34,AB34&lt;=L34),IF(ISBLANK(R34),"-",R34),IF(AB34&lt;=N34,IF(ISBLANK(S34),"-",S34),"-")))),"-"))</f>
        <v>0.0</v>
      </c>
      <c r="AD34" s="130">
        <f>IF(OR(AB34="",AE34=""),"-",IF(OR(ISNUMBER(SEARCH("4 Günlük",AE34)),ISNUMBER(SEARCH("7 Günlük",AE34)),ISNUMBER(SEARCH("Trendyol Satış Fiyatı",AE34))),IF(AB34&gt;=I34,U34,IF(AND(AB34&gt;=K34,AB34&lt;=J34),V34,IF(AND(AB34&gt;=M34,AB34&lt;=L34),W34,IF(AB34&lt;=N34,X34,"-")))),"-"))</f>
        <v>0.0</v>
      </c>
      <c r="AE34" s="132"/>
      <c r="AF34" s="134"/>
      <c r="AG34" s="136"/>
      <c r="AH34" s="138"/>
      <c r="AI34" s="140" t="inlineStr">
        <is>
          <t>28e1d9461a2c0f35104ce2f1e453ac97</t>
        </is>
      </c>
    </row>
    <row r="35">
      <c r="A35" s="72" t="inlineStr">
        <is>
          <t>(30 Adet) 30x45 cm Sopalı Bez Türk Bayrağı KALİTELİ ALPAKA KUMAŞ</t>
        </is>
      </c>
      <c r="B35" s="74" t="inlineStr">
        <is>
          <t>4807499444628</t>
        </is>
      </c>
      <c r="C35" s="76" t="inlineStr">
        <is>
          <t>TB-30x45-30</t>
        </is>
      </c>
      <c r="D35" s="78"/>
      <c r="E35" s="80" t="inlineStr">
        <is>
          <t>TB-30x45-30</t>
        </is>
      </c>
      <c r="F35" s="82" t="inlineStr">
        <is>
          <t>Bayrak</t>
        </is>
      </c>
      <c r="G35" s="84" t="inlineStr">
        <is>
          <t>AKYILDIZ store</t>
        </is>
      </c>
      <c r="H35" s="86" t="n">
        <v>990.0</v>
      </c>
      <c r="I35" s="88" t="n">
        <v>930.01</v>
      </c>
      <c r="J35" s="90" t="n">
        <v>930.0</v>
      </c>
      <c r="K35" s="92" t="n">
        <v>861.24</v>
      </c>
      <c r="L35" s="94" t="n">
        <v>861.23</v>
      </c>
      <c r="M35" s="96" t="n">
        <v>803.91</v>
      </c>
      <c r="N35" s="98" t="n">
        <v>803.9</v>
      </c>
      <c r="O35" s="100"/>
      <c r="P35" s="102"/>
      <c r="Q35" s="104"/>
      <c r="R35" s="106"/>
      <c r="S35" s="108"/>
      <c r="T35" s="110" t="inlineStr">
        <is>
          <t>26 Haziran 08.00-30 Haziran 07.59</t>
        </is>
      </c>
      <c r="U35" s="112" t="n">
        <v>19.0</v>
      </c>
      <c r="V35" s="114" t="n">
        <v>14.8</v>
      </c>
      <c r="W35" s="116" t="n">
        <v>12.4</v>
      </c>
      <c r="X35" s="118" t="n">
        <v>10.0</v>
      </c>
      <c r="Y35" s="120" t="n">
        <v>997.5</v>
      </c>
      <c r="Z35" s="122" t="n">
        <v>19.0</v>
      </c>
      <c r="AA35" s="124" t="n">
        <v>1050.0</v>
      </c>
      <c r="AB35" s="126"/>
      <c r="AC35" s="128">
        <f>IF(OR(AB35="",AE35=""),"-",IF(OR(ISNUMBER(SEARCH("3 Günlük",AE35)),ISNUMBER(SEARCH("7 Günlük",AE35)),ISNUMBER(SEARCH("Trendyol Satış Fiyatı",AE35))),IF(AB35&gt;=I35,IF(ISBLANK(P35),"-",P35),IF(AND(AB35&gt;=K35,AB35&lt;=J35),IF(ISBLANK(Q35),"-",Q35),IF(AND(AB35&gt;=M35,AB35&lt;=L35),IF(ISBLANK(R35),"-",R35),IF(AB35&lt;=N35,IF(ISBLANK(S35),"-",S35),"-")))),"-"))</f>
        <v>0.0</v>
      </c>
      <c r="AD35" s="130">
        <f>IF(OR(AB35="",AE35=""),"-",IF(OR(ISNUMBER(SEARCH("4 Günlük",AE35)),ISNUMBER(SEARCH("7 Günlük",AE35)),ISNUMBER(SEARCH("Trendyol Satış Fiyatı",AE35))),IF(AB35&gt;=I35,U35,IF(AND(AB35&gt;=K35,AB35&lt;=J35),V35,IF(AND(AB35&gt;=M35,AB35&lt;=L35),W35,IF(AB35&lt;=N35,X35,"-")))),"-"))</f>
        <v>0.0</v>
      </c>
      <c r="AE35" s="132"/>
      <c r="AF35" s="134"/>
      <c r="AG35" s="136"/>
      <c r="AH35" s="138"/>
      <c r="AI35" s="140" t="inlineStr">
        <is>
          <t>28e1d9461a2c0f35104ce2f1e453ac97</t>
        </is>
      </c>
    </row>
    <row r="36">
      <c r="A36" s="72" t="inlineStr">
        <is>
          <t>(10 Adet) 30x45 cm Sopalı Bez Türk Bayrağı KALİTELİ ALPAKA KUMAŞ</t>
        </is>
      </c>
      <c r="B36" s="74" t="inlineStr">
        <is>
          <t>6642493625727</t>
        </is>
      </c>
      <c r="C36" s="76" t="inlineStr">
        <is>
          <t>TB-30x45-10</t>
        </is>
      </c>
      <c r="D36" s="78"/>
      <c r="E36" s="80" t="inlineStr">
        <is>
          <t>TB-30x45-10</t>
        </is>
      </c>
      <c r="F36" s="82" t="inlineStr">
        <is>
          <t>Bayrak</t>
        </is>
      </c>
      <c r="G36" s="84" t="inlineStr">
        <is>
          <t>AKYILDIZ store</t>
        </is>
      </c>
      <c r="H36" s="86" t="n">
        <v>986.0</v>
      </c>
      <c r="I36" s="88" t="n">
        <v>393.85</v>
      </c>
      <c r="J36" s="90" t="n">
        <v>393.84</v>
      </c>
      <c r="K36" s="92" t="n">
        <v>368.6</v>
      </c>
      <c r="L36" s="94" t="n">
        <v>368.59</v>
      </c>
      <c r="M36" s="96" t="n">
        <v>337.22</v>
      </c>
      <c r="N36" s="98" t="n">
        <v>337.21</v>
      </c>
      <c r="O36" s="100"/>
      <c r="P36" s="102"/>
      <c r="Q36" s="104"/>
      <c r="R36" s="106"/>
      <c r="S36" s="108"/>
      <c r="T36" s="110" t="inlineStr">
        <is>
          <t>26 Haziran 08.00-30 Haziran 07.59</t>
        </is>
      </c>
      <c r="U36" s="112" t="n">
        <v>19.0</v>
      </c>
      <c r="V36" s="114" t="n">
        <v>15.1</v>
      </c>
      <c r="W36" s="116" t="n">
        <v>13.0</v>
      </c>
      <c r="X36" s="118" t="n">
        <v>10.0</v>
      </c>
      <c r="Y36" s="120" t="n">
        <v>418.0</v>
      </c>
      <c r="Z36" s="122" t="n">
        <v>19.0</v>
      </c>
      <c r="AA36" s="124" t="n">
        <v>440.0</v>
      </c>
      <c r="AB36" s="126"/>
      <c r="AC36" s="128">
        <f>IF(OR(AB36="",AE36=""),"-",IF(OR(ISNUMBER(SEARCH("3 Günlük",AE36)),ISNUMBER(SEARCH("7 Günlük",AE36)),ISNUMBER(SEARCH("Trendyol Satış Fiyatı",AE36))),IF(AB36&gt;=I36,IF(ISBLANK(P36),"-",P36),IF(AND(AB36&gt;=K36,AB36&lt;=J36),IF(ISBLANK(Q36),"-",Q36),IF(AND(AB36&gt;=M36,AB36&lt;=L36),IF(ISBLANK(R36),"-",R36),IF(AB36&lt;=N36,IF(ISBLANK(S36),"-",S36),"-")))),"-"))</f>
        <v>0.0</v>
      </c>
      <c r="AD36" s="130">
        <f>IF(OR(AB36="",AE36=""),"-",IF(OR(ISNUMBER(SEARCH("4 Günlük",AE36)),ISNUMBER(SEARCH("7 Günlük",AE36)),ISNUMBER(SEARCH("Trendyol Satış Fiyatı",AE36))),IF(AB36&gt;=I36,U36,IF(AND(AB36&gt;=K36,AB36&lt;=J36),V36,IF(AND(AB36&gt;=M36,AB36&lt;=L36),W36,IF(AB36&lt;=N36,X36,"-")))),"-"))</f>
        <v>0.0</v>
      </c>
      <c r="AE36" s="132"/>
      <c r="AF36" s="134"/>
      <c r="AG36" s="136"/>
      <c r="AH36" s="138"/>
      <c r="AI36" s="140" t="inlineStr">
        <is>
          <t>28e1d9461a2c0f35104ce2f1e453ac97</t>
        </is>
      </c>
    </row>
    <row r="37">
      <c r="A37" s="72" t="inlineStr">
        <is>
          <t>(20 Adet) 30x45 cm Sopalı Bez Türk Bayrağı KALİTELİ ALPAKA KUMAŞ</t>
        </is>
      </c>
      <c r="B37" s="74" t="inlineStr">
        <is>
          <t>8820009528742</t>
        </is>
      </c>
      <c r="C37" s="76" t="inlineStr">
        <is>
          <t>TB-30x45-20</t>
        </is>
      </c>
      <c r="D37" s="78"/>
      <c r="E37" s="80" t="inlineStr">
        <is>
          <t>TB-30x45-20</t>
        </is>
      </c>
      <c r="F37" s="82" t="inlineStr">
        <is>
          <t>Bayrak</t>
        </is>
      </c>
      <c r="G37" s="84" t="inlineStr">
        <is>
          <t>AKYILDIZ store</t>
        </is>
      </c>
      <c r="H37" s="86" t="n">
        <v>987.0</v>
      </c>
      <c r="I37" s="88" t="n">
        <v>660.97</v>
      </c>
      <c r="J37" s="90" t="n">
        <v>660.96</v>
      </c>
      <c r="K37" s="92" t="n">
        <v>614.14</v>
      </c>
      <c r="L37" s="94" t="n">
        <v>614.13</v>
      </c>
      <c r="M37" s="96" t="n">
        <v>574.83</v>
      </c>
      <c r="N37" s="98" t="n">
        <v>574.82</v>
      </c>
      <c r="O37" s="100"/>
      <c r="P37" s="102"/>
      <c r="Q37" s="104"/>
      <c r="R37" s="106"/>
      <c r="S37" s="108"/>
      <c r="T37" s="110" t="inlineStr">
        <is>
          <t>26 Haziran 08.00-30 Haziran 07.59</t>
        </is>
      </c>
      <c r="U37" s="112" t="n">
        <v>19.0</v>
      </c>
      <c r="V37" s="114" t="n">
        <v>14.9</v>
      </c>
      <c r="W37" s="116" t="n">
        <v>12.6</v>
      </c>
      <c r="X37" s="118" t="n">
        <v>10.3</v>
      </c>
      <c r="Y37" s="120" t="n">
        <v>722.0</v>
      </c>
      <c r="Z37" s="122" t="n">
        <v>19.0</v>
      </c>
      <c r="AA37" s="124" t="n">
        <v>760.0</v>
      </c>
      <c r="AB37" s="126"/>
      <c r="AC37" s="128">
        <f>IF(OR(AB37="",AE37=""),"-",IF(OR(ISNUMBER(SEARCH("3 Günlük",AE37)),ISNUMBER(SEARCH("7 Günlük",AE37)),ISNUMBER(SEARCH("Trendyol Satış Fiyatı",AE37))),IF(AB37&gt;=I37,IF(ISBLANK(P37),"-",P37),IF(AND(AB37&gt;=K37,AB37&lt;=J37),IF(ISBLANK(Q37),"-",Q37),IF(AND(AB37&gt;=M37,AB37&lt;=L37),IF(ISBLANK(R37),"-",R37),IF(AB37&lt;=N37,IF(ISBLANK(S37),"-",S37),"-")))),"-"))</f>
        <v>0.0</v>
      </c>
      <c r="AD37" s="130">
        <f>IF(OR(AB37="",AE37=""),"-",IF(OR(ISNUMBER(SEARCH("4 Günlük",AE37)),ISNUMBER(SEARCH("7 Günlük",AE37)),ISNUMBER(SEARCH("Trendyol Satış Fiyatı",AE37))),IF(AB37&gt;=I37,U37,IF(AND(AB37&gt;=K37,AB37&lt;=J37),V37,IF(AND(AB37&gt;=M37,AB37&lt;=L37),W37,IF(AB37&lt;=N37,X37,"-")))),"-"))</f>
        <v>0.0</v>
      </c>
      <c r="AE37" s="132"/>
      <c r="AF37" s="134"/>
      <c r="AG37" s="136"/>
      <c r="AH37" s="138"/>
      <c r="AI37" s="140" t="inlineStr">
        <is>
          <t>28e1d9461a2c0f35104ce2f1e453ac97</t>
        </is>
      </c>
    </row>
    <row r="38">
      <c r="A38" s="72" t="inlineStr">
        <is>
          <t>(5 Adet) 30x45 cm Sopalı Bez Türk Bayrağı KALİTELİ ALPAKA KUMAŞ</t>
        </is>
      </c>
      <c r="B38" s="74" t="inlineStr">
        <is>
          <t>1188369269796</t>
        </is>
      </c>
      <c r="C38" s="76" t="inlineStr">
        <is>
          <t>TB-30x45-5</t>
        </is>
      </c>
      <c r="D38" s="78"/>
      <c r="E38" s="80" t="inlineStr">
        <is>
          <t>TB-30x45-5</t>
        </is>
      </c>
      <c r="F38" s="82" t="inlineStr">
        <is>
          <t>Bayrak</t>
        </is>
      </c>
      <c r="G38" s="84" t="inlineStr">
        <is>
          <t>AKYILDIZ store</t>
        </is>
      </c>
      <c r="H38" s="86" t="n">
        <v>962.0</v>
      </c>
      <c r="I38" s="88" t="n">
        <v>187.6</v>
      </c>
      <c r="J38" s="90" t="n">
        <v>187.59</v>
      </c>
      <c r="K38" s="92" t="n">
        <v>176.87</v>
      </c>
      <c r="L38" s="94" t="n">
        <v>176.86</v>
      </c>
      <c r="M38" s="96" t="n">
        <v>167.55</v>
      </c>
      <c r="N38" s="98" t="n">
        <v>167.54</v>
      </c>
      <c r="O38" s="100"/>
      <c r="P38" s="102"/>
      <c r="Q38" s="104"/>
      <c r="R38" s="106"/>
      <c r="S38" s="108"/>
      <c r="T38" s="110" t="inlineStr">
        <is>
          <t>26 Haziran 08.00-30 Haziran 07.59</t>
        </is>
      </c>
      <c r="U38" s="112" t="n">
        <v>19.0</v>
      </c>
      <c r="V38" s="114" t="n">
        <v>15.1</v>
      </c>
      <c r="W38" s="116" t="n">
        <v>13.3</v>
      </c>
      <c r="X38" s="118" t="n">
        <v>11.5</v>
      </c>
      <c r="Y38" s="120" t="n">
        <v>259.35</v>
      </c>
      <c r="Z38" s="122" t="n">
        <v>19.0</v>
      </c>
      <c r="AA38" s="124" t="n">
        <v>273.0</v>
      </c>
      <c r="AB38" s="126"/>
      <c r="AC38" s="128">
        <f>IF(OR(AB38="",AE38=""),"-",IF(OR(ISNUMBER(SEARCH("3 Günlük",AE38)),ISNUMBER(SEARCH("7 Günlük",AE38)),ISNUMBER(SEARCH("Trendyol Satış Fiyatı",AE38))),IF(AB38&gt;=I38,IF(ISBLANK(P38),"-",P38),IF(AND(AB38&gt;=K38,AB38&lt;=J38),IF(ISBLANK(Q38),"-",Q38),IF(AND(AB38&gt;=M38,AB38&lt;=L38),IF(ISBLANK(R38),"-",R38),IF(AB38&lt;=N38,IF(ISBLANK(S38),"-",S38),"-")))),"-"))</f>
        <v>0.0</v>
      </c>
      <c r="AD38" s="130">
        <f>IF(OR(AB38="",AE38=""),"-",IF(OR(ISNUMBER(SEARCH("4 Günlük",AE38)),ISNUMBER(SEARCH("7 Günlük",AE38)),ISNUMBER(SEARCH("Trendyol Satış Fiyatı",AE38))),IF(AB38&gt;=I38,U38,IF(AND(AB38&gt;=K38,AB38&lt;=J38),V38,IF(AND(AB38&gt;=M38,AB38&lt;=L38),W38,IF(AB38&lt;=N38,X38,"-")))),"-"))</f>
        <v>0.0</v>
      </c>
      <c r="AE38" s="132"/>
      <c r="AF38" s="134"/>
      <c r="AG38" s="136"/>
      <c r="AH38" s="138"/>
      <c r="AI38" s="140" t="inlineStr">
        <is>
          <t>28e1d9461a2c0f35104ce2f1e453ac97</t>
        </is>
      </c>
    </row>
    <row r="39">
      <c r="A39" s="72" t="inlineStr">
        <is>
          <t>10 ADET Sopalı Türk Bayrağı 20x30 cm – Raşel Kumaş, Çift Dikiş, Dayanıklı Küçük Ebat</t>
        </is>
      </c>
      <c r="B39" s="74" t="inlineStr">
        <is>
          <t>8697654321235</t>
        </is>
      </c>
      <c r="C39" s="76" t="inlineStr">
        <is>
          <t>TB-RSL-SOPALI-10-20x30</t>
        </is>
      </c>
      <c r="D39" s="78"/>
      <c r="E39" s="80" t="inlineStr">
        <is>
          <t>TB-RSL-SOPALI-10-20x30</t>
        </is>
      </c>
      <c r="F39" s="82" t="inlineStr">
        <is>
          <t>Bayrak</t>
        </is>
      </c>
      <c r="G39" s="84" t="inlineStr">
        <is>
          <t>AKYILDIZ store</t>
        </is>
      </c>
      <c r="H39" s="86" t="n">
        <v>1966.0</v>
      </c>
      <c r="I39" s="88" t="n">
        <v>259.27</v>
      </c>
      <c r="J39" s="90" t="n">
        <v>259.26</v>
      </c>
      <c r="K39" s="92" t="n">
        <v>245.04</v>
      </c>
      <c r="L39" s="94" t="n">
        <v>245.03</v>
      </c>
      <c r="M39" s="96" t="n">
        <v>225.86</v>
      </c>
      <c r="N39" s="98" t="n">
        <v>225.85</v>
      </c>
      <c r="O39" s="100"/>
      <c r="P39" s="102"/>
      <c r="Q39" s="104"/>
      <c r="R39" s="106"/>
      <c r="S39" s="108"/>
      <c r="T39" s="110" t="inlineStr">
        <is>
          <t>26 Haziran 08.00-30 Haziran 07.59</t>
        </is>
      </c>
      <c r="U39" s="112" t="n">
        <v>19.0</v>
      </c>
      <c r="V39" s="114" t="n">
        <v>15.2</v>
      </c>
      <c r="W39" s="116" t="n">
        <v>13.5</v>
      </c>
      <c r="X39" s="118" t="n">
        <v>10.8</v>
      </c>
      <c r="Y39" s="120" t="n">
        <v>232.78</v>
      </c>
      <c r="Z39" s="122" t="n">
        <v>13.5</v>
      </c>
      <c r="AA39" s="124" t="n">
        <v>245.03</v>
      </c>
      <c r="AB39" s="126"/>
      <c r="AC39" s="128">
        <f>IF(OR(AB39="",AE39=""),"-",IF(OR(ISNUMBER(SEARCH("3 Günlük",AE39)),ISNUMBER(SEARCH("7 Günlük",AE39)),ISNUMBER(SEARCH("Trendyol Satış Fiyatı",AE39))),IF(AB39&gt;=I39,IF(ISBLANK(P39),"-",P39),IF(AND(AB39&gt;=K39,AB39&lt;=J39),IF(ISBLANK(Q39),"-",Q39),IF(AND(AB39&gt;=M39,AB39&lt;=L39),IF(ISBLANK(R39),"-",R39),IF(AB39&lt;=N39,IF(ISBLANK(S39),"-",S39),"-")))),"-"))</f>
        <v>0.0</v>
      </c>
      <c r="AD39" s="130">
        <f>IF(OR(AB39="",AE39=""),"-",IF(OR(ISNUMBER(SEARCH("4 Günlük",AE39)),ISNUMBER(SEARCH("7 Günlük",AE39)),ISNUMBER(SEARCH("Trendyol Satış Fiyatı",AE39))),IF(AB39&gt;=I39,U39,IF(AND(AB39&gt;=K39,AB39&lt;=J39),V39,IF(AND(AB39&gt;=M39,AB39&lt;=L39),W39,IF(AB39&lt;=N39,X39,"-")))),"-"))</f>
        <v>0.0</v>
      </c>
      <c r="AE39" s="132" t="inlineStr">
        <is>
          <t>4 Günlük Fiyat</t>
        </is>
      </c>
      <c r="AF39" s="134"/>
      <c r="AG39" s="136" t="inlineStr">
        <is>
          <t>rh_36e11053633afd0b8ffb2ebccd224c9a</t>
        </is>
      </c>
      <c r="AH39" s="138"/>
      <c r="AI39" s="140" t="inlineStr">
        <is>
          <t>28e1d9461a2c0f35104ce2f1e453ac97</t>
        </is>
      </c>
    </row>
    <row r="40">
      <c r="A40" s="72" t="inlineStr">
        <is>
          <t>150x225 cm Atatürk Baskılı Türk Bayrağı – Raşel Kumaş, Çift Dikiş, Solmaz Renk</t>
        </is>
      </c>
      <c r="B40" s="74" t="inlineStr">
        <is>
          <t>8697616261181</t>
        </is>
      </c>
      <c r="C40" s="76" t="inlineStr">
        <is>
          <t>ATB-150x225-RS</t>
        </is>
      </c>
      <c r="D40" s="78"/>
      <c r="E40" s="80" t="inlineStr">
        <is>
          <t>ATB-150x225-RS</t>
        </is>
      </c>
      <c r="F40" s="82" t="inlineStr">
        <is>
          <t>Bayrak</t>
        </is>
      </c>
      <c r="G40" s="84" t="inlineStr">
        <is>
          <t>AKYILDIZ store</t>
        </is>
      </c>
      <c r="H40" s="86" t="n">
        <v>3.0</v>
      </c>
      <c r="I40" s="88" t="n">
        <v>538.44</v>
      </c>
      <c r="J40" s="90" t="n">
        <v>538.43</v>
      </c>
      <c r="K40" s="92" t="n">
        <v>495.41</v>
      </c>
      <c r="L40" s="94" t="n">
        <v>495.4</v>
      </c>
      <c r="M40" s="96" t="n">
        <v>460.05</v>
      </c>
      <c r="N40" s="98" t="n">
        <v>460.04</v>
      </c>
      <c r="O40" s="100"/>
      <c r="P40" s="102"/>
      <c r="Q40" s="104"/>
      <c r="R40" s="106"/>
      <c r="S40" s="108"/>
      <c r="T40" s="110" t="inlineStr">
        <is>
          <t>26 Haziran 08.00-30 Haziran 07.59</t>
        </is>
      </c>
      <c r="U40" s="112" t="n">
        <v>19.0</v>
      </c>
      <c r="V40" s="114" t="n">
        <v>14.6</v>
      </c>
      <c r="W40" s="116" t="n">
        <v>12.0</v>
      </c>
      <c r="X40" s="118" t="n">
        <v>9.5</v>
      </c>
      <c r="Y40" s="120" t="n">
        <v>511.51</v>
      </c>
      <c r="Z40" s="122" t="n">
        <v>14.6</v>
      </c>
      <c r="AA40" s="124" t="n">
        <v>538.43</v>
      </c>
      <c r="AB40" s="126"/>
      <c r="AC40" s="128">
        <f>IF(OR(AB40="",AE40=""),"-",IF(OR(ISNUMBER(SEARCH("3 Günlük",AE40)),ISNUMBER(SEARCH("7 Günlük",AE40)),ISNUMBER(SEARCH("Trendyol Satış Fiyatı",AE40))),IF(AB40&gt;=I40,IF(ISBLANK(P40),"-",P40),IF(AND(AB40&gt;=K40,AB40&lt;=J40),IF(ISBLANK(Q40),"-",Q40),IF(AND(AB40&gt;=M40,AB40&lt;=L40),IF(ISBLANK(R40),"-",R40),IF(AB40&lt;=N40,IF(ISBLANK(S40),"-",S40),"-")))),"-"))</f>
        <v>0.0</v>
      </c>
      <c r="AD40" s="130">
        <f>IF(OR(AB40="",AE40=""),"-",IF(OR(ISNUMBER(SEARCH("4 Günlük",AE40)),ISNUMBER(SEARCH("7 Günlük",AE40)),ISNUMBER(SEARCH("Trendyol Satış Fiyatı",AE40))),IF(AB40&gt;=I40,U40,IF(AND(AB40&gt;=K40,AB40&lt;=J40),V40,IF(AND(AB40&gt;=M40,AB40&lt;=L40),W40,IF(AB40&lt;=N40,X40,"-")))),"-"))</f>
        <v>0.0</v>
      </c>
      <c r="AE40" s="132" t="inlineStr">
        <is>
          <t>4 Günlük Fiyat</t>
        </is>
      </c>
      <c r="AF40" s="134"/>
      <c r="AG40" s="136" t="inlineStr">
        <is>
          <t>rh_cb75afbd6e3bc0fb25e590d0241f405f</t>
        </is>
      </c>
      <c r="AH40" s="138"/>
      <c r="AI40" s="140" t="inlineStr">
        <is>
          <t>28e1d9461a2c0f35104ce2f1e453ac97</t>
        </is>
      </c>
    </row>
    <row r="41">
      <c r="A41" s="72" t="inlineStr">
        <is>
          <t>200x300 cm Atatürk Baskılı Türk Bayrağı – Raşel Kumaş, Çift Dikiş, Solmaz Renk</t>
        </is>
      </c>
      <c r="B41" s="74" t="inlineStr">
        <is>
          <t>8697654321228</t>
        </is>
      </c>
      <c r="C41" s="76" t="inlineStr">
        <is>
          <t>ATB-200x300-RS</t>
        </is>
      </c>
      <c r="D41" s="78"/>
      <c r="E41" s="80" t="inlineStr">
        <is>
          <t>ATB-200x300-RS</t>
        </is>
      </c>
      <c r="F41" s="82" t="inlineStr">
        <is>
          <t>Bayrak</t>
        </is>
      </c>
      <c r="G41" s="84" t="inlineStr">
        <is>
          <t>AKYILDIZ store</t>
        </is>
      </c>
      <c r="H41" s="86" t="n">
        <v>13.0</v>
      </c>
      <c r="I41" s="88" t="n">
        <v>766.06</v>
      </c>
      <c r="J41" s="90" t="n">
        <v>766.05</v>
      </c>
      <c r="K41" s="92" t="n">
        <v>709.34</v>
      </c>
      <c r="L41" s="94" t="n">
        <v>709.33</v>
      </c>
      <c r="M41" s="96" t="n">
        <v>661.69</v>
      </c>
      <c r="N41" s="98" t="n">
        <v>661.68</v>
      </c>
      <c r="O41" s="100"/>
      <c r="P41" s="102"/>
      <c r="Q41" s="104"/>
      <c r="R41" s="106"/>
      <c r="S41" s="108"/>
      <c r="T41" s="110" t="inlineStr">
        <is>
          <t>26 Haziran 08.00-30 Haziran 07.59</t>
        </is>
      </c>
      <c r="U41" s="112" t="n">
        <v>19.0</v>
      </c>
      <c r="V41" s="114" t="n">
        <v>14.8</v>
      </c>
      <c r="W41" s="116" t="n">
        <v>12.4</v>
      </c>
      <c r="X41" s="118" t="n">
        <v>10.0</v>
      </c>
      <c r="Y41" s="120" t="n">
        <v>917.7</v>
      </c>
      <c r="Z41" s="122" t="n">
        <v>19.0</v>
      </c>
      <c r="AA41" s="124" t="n">
        <v>966.0</v>
      </c>
      <c r="AB41" s="126"/>
      <c r="AC41" s="128">
        <f>IF(OR(AB41="",AE41=""),"-",IF(OR(ISNUMBER(SEARCH("3 Günlük",AE41)),ISNUMBER(SEARCH("7 Günlük",AE41)),ISNUMBER(SEARCH("Trendyol Satış Fiyatı",AE41))),IF(AB41&gt;=I41,IF(ISBLANK(P41),"-",P41),IF(AND(AB41&gt;=K41,AB41&lt;=J41),IF(ISBLANK(Q41),"-",Q41),IF(AND(AB41&gt;=M41,AB41&lt;=L41),IF(ISBLANK(R41),"-",R41),IF(AB41&lt;=N41,IF(ISBLANK(S41),"-",S41),"-")))),"-"))</f>
        <v>0.0</v>
      </c>
      <c r="AD41" s="130">
        <f>IF(OR(AB41="",AE41=""),"-",IF(OR(ISNUMBER(SEARCH("4 Günlük",AE41)),ISNUMBER(SEARCH("7 Günlük",AE41)),ISNUMBER(SEARCH("Trendyol Satış Fiyatı",AE41))),IF(AB41&gt;=I41,U41,IF(AND(AB41&gt;=K41,AB41&lt;=J41),V41,IF(AND(AB41&gt;=M41,AB41&lt;=L41),W41,IF(AB41&lt;=N41,X41,"-")))),"-"))</f>
        <v>0.0</v>
      </c>
      <c r="AE41" s="132"/>
      <c r="AF41" s="134"/>
      <c r="AG41" s="136"/>
      <c r="AH41" s="138"/>
      <c r="AI41" s="140" t="inlineStr">
        <is>
          <t>28e1d9461a2c0f35104ce2f1e453ac97</t>
        </is>
      </c>
    </row>
    <row r="42">
      <c r="A42" s="72" t="inlineStr">
        <is>
          <t>70x105 cm Atatürk Baskılı Türk Bayrağı – Raşel Kumaş, Çift Dikiş, Solmaz Renk</t>
        </is>
      </c>
      <c r="B42" s="74" t="inlineStr">
        <is>
          <t>8697654321198</t>
        </is>
      </c>
      <c r="C42" s="76" t="inlineStr">
        <is>
          <t>ATB-70x105-RS</t>
        </is>
      </c>
      <c r="D42" s="78"/>
      <c r="E42" s="80" t="inlineStr">
        <is>
          <t>ATB-70x105-RS</t>
        </is>
      </c>
      <c r="F42" s="82" t="inlineStr">
        <is>
          <t>Bayrak</t>
        </is>
      </c>
      <c r="G42" s="84" t="inlineStr">
        <is>
          <t>AKYILDIZ store</t>
        </is>
      </c>
      <c r="H42" s="86" t="n">
        <v>5.0</v>
      </c>
      <c r="I42" s="88" t="n">
        <v>182.05</v>
      </c>
      <c r="J42" s="90" t="n">
        <v>182.04</v>
      </c>
      <c r="K42" s="92" t="n">
        <v>170.16</v>
      </c>
      <c r="L42" s="94" t="n">
        <v>170.15</v>
      </c>
      <c r="M42" s="96" t="n">
        <v>154.1</v>
      </c>
      <c r="N42" s="98" t="n">
        <v>154.09</v>
      </c>
      <c r="O42" s="100"/>
      <c r="P42" s="102"/>
      <c r="Q42" s="104"/>
      <c r="R42" s="106"/>
      <c r="S42" s="108"/>
      <c r="T42" s="110" t="inlineStr">
        <is>
          <t>26 Haziran 08.00-30 Haziran 07.59</t>
        </is>
      </c>
      <c r="U42" s="112" t="n">
        <v>19.0</v>
      </c>
      <c r="V42" s="114" t="n">
        <v>14.9</v>
      </c>
      <c r="W42" s="116" t="n">
        <v>12.8</v>
      </c>
      <c r="X42" s="118" t="n">
        <v>9.5</v>
      </c>
      <c r="Y42" s="120" t="n">
        <v>172.94</v>
      </c>
      <c r="Z42" s="122" t="n">
        <v>14.9</v>
      </c>
      <c r="AA42" s="124" t="n">
        <v>182.04</v>
      </c>
      <c r="AB42" s="126"/>
      <c r="AC42" s="128">
        <f>IF(OR(AB42="",AE42=""),"-",IF(OR(ISNUMBER(SEARCH("3 Günlük",AE42)),ISNUMBER(SEARCH("7 Günlük",AE42)),ISNUMBER(SEARCH("Trendyol Satış Fiyatı",AE42))),IF(AB42&gt;=I42,IF(ISBLANK(P42),"-",P42),IF(AND(AB42&gt;=K42,AB42&lt;=J42),IF(ISBLANK(Q42),"-",Q42),IF(AND(AB42&gt;=M42,AB42&lt;=L42),IF(ISBLANK(R42),"-",R42),IF(AB42&lt;=N42,IF(ISBLANK(S42),"-",S42),"-")))),"-"))</f>
        <v>0.0</v>
      </c>
      <c r="AD42" s="130">
        <f>IF(OR(AB42="",AE42=""),"-",IF(OR(ISNUMBER(SEARCH("4 Günlük",AE42)),ISNUMBER(SEARCH("7 Günlük",AE42)),ISNUMBER(SEARCH("Trendyol Satış Fiyatı",AE42))),IF(AB42&gt;=I42,U42,IF(AND(AB42&gt;=K42,AB42&lt;=J42),V42,IF(AND(AB42&gt;=M42,AB42&lt;=L42),W42,IF(AB42&lt;=N42,X42,"-")))),"-"))</f>
        <v>0.0</v>
      </c>
      <c r="AE42" s="132" t="inlineStr">
        <is>
          <t>4 Günlük Fiyat</t>
        </is>
      </c>
      <c r="AF42" s="134"/>
      <c r="AG42" s="136" t="inlineStr">
        <is>
          <t>rh_a3411f8db84b7f0f2111c0be9ca271f7</t>
        </is>
      </c>
      <c r="AH42" s="138"/>
      <c r="AI42" s="140" t="inlineStr">
        <is>
          <t>28e1d9461a2c0f35104ce2f1e453ac97</t>
        </is>
      </c>
    </row>
    <row r="43">
      <c r="A43" s="72" t="inlineStr">
        <is>
          <t>(5 ADET) Sopalı Türk Bayrağı 50x75 cm - Raşel Kumaş</t>
        </is>
      </c>
      <c r="B43" s="74" t="inlineStr">
        <is>
          <t>869644211075</t>
        </is>
      </c>
      <c r="C43" s="76" t="inlineStr">
        <is>
          <t>TB-RSL-SOPALI-50x70-5</t>
        </is>
      </c>
      <c r="D43" s="78"/>
      <c r="E43" s="80" t="inlineStr">
        <is>
          <t>TB-RSL-SOPALI-50x75-5</t>
        </is>
      </c>
      <c r="F43" s="82" t="inlineStr">
        <is>
          <t>Bayrak</t>
        </is>
      </c>
      <c r="G43" s="84" t="inlineStr">
        <is>
          <t>AKYILDIZ store</t>
        </is>
      </c>
      <c r="H43" s="86" t="n">
        <v>985.0</v>
      </c>
      <c r="I43" s="88" t="n">
        <v>379.38</v>
      </c>
      <c r="J43" s="90" t="n">
        <v>379.37</v>
      </c>
      <c r="K43" s="92" t="n">
        <v>344.35</v>
      </c>
      <c r="L43" s="94" t="n">
        <v>344.34</v>
      </c>
      <c r="M43" s="96" t="n">
        <v>315.6</v>
      </c>
      <c r="N43" s="98" t="n">
        <v>315.59</v>
      </c>
      <c r="O43" s="100"/>
      <c r="P43" s="102"/>
      <c r="Q43" s="104"/>
      <c r="R43" s="106"/>
      <c r="S43" s="108"/>
      <c r="T43" s="110" t="inlineStr">
        <is>
          <t>26 Haziran 08.00-30 Haziran 07.59</t>
        </is>
      </c>
      <c r="U43" s="112" t="n">
        <v>19.0</v>
      </c>
      <c r="V43" s="114" t="n">
        <v>14.3</v>
      </c>
      <c r="W43" s="116" t="n">
        <v>11.2</v>
      </c>
      <c r="X43" s="118" t="n">
        <v>8.1</v>
      </c>
      <c r="Y43" s="120" t="n">
        <v>427.5</v>
      </c>
      <c r="Z43" s="122" t="n">
        <v>19.0</v>
      </c>
      <c r="AA43" s="124" t="n">
        <v>450.0</v>
      </c>
      <c r="AB43" s="126"/>
      <c r="AC43" s="128">
        <f>IF(OR(AB43="",AE43=""),"-",IF(OR(ISNUMBER(SEARCH("3 Günlük",AE43)),ISNUMBER(SEARCH("7 Günlük",AE43)),ISNUMBER(SEARCH("Trendyol Satış Fiyatı",AE43))),IF(AB43&gt;=I43,IF(ISBLANK(P43),"-",P43),IF(AND(AB43&gt;=K43,AB43&lt;=J43),IF(ISBLANK(Q43),"-",Q43),IF(AND(AB43&gt;=M43,AB43&lt;=L43),IF(ISBLANK(R43),"-",R43),IF(AB43&lt;=N43,IF(ISBLANK(S43),"-",S43),"-")))),"-"))</f>
        <v>0.0</v>
      </c>
      <c r="AD43" s="130">
        <f>IF(OR(AB43="",AE43=""),"-",IF(OR(ISNUMBER(SEARCH("4 Günlük",AE43)),ISNUMBER(SEARCH("7 Günlük",AE43)),ISNUMBER(SEARCH("Trendyol Satış Fiyatı",AE43))),IF(AB43&gt;=I43,U43,IF(AND(AB43&gt;=K43,AB43&lt;=J43),V43,IF(AND(AB43&gt;=M43,AB43&lt;=L43),W43,IF(AB43&lt;=N43,X43,"-")))),"-"))</f>
        <v>0.0</v>
      </c>
      <c r="AE43" s="132"/>
      <c r="AF43" s="134"/>
      <c r="AG43" s="136"/>
      <c r="AH43" s="138"/>
      <c r="AI43" s="140" t="inlineStr">
        <is>
          <t>28e1d9461a2c0f35104ce2f1e453ac97</t>
        </is>
      </c>
    </row>
    <row r="44">
      <c r="A44" s="72" t="inlineStr">
        <is>
          <t>100x150 cm Atatürk Baskılı Türk Bayrağı – Raşel Kumaş, Çift Dikiş, Solmaz Renk</t>
        </is>
      </c>
      <c r="B44" s="74" t="inlineStr">
        <is>
          <t>8697654321181</t>
        </is>
      </c>
      <c r="C44" s="76" t="inlineStr">
        <is>
          <t>ATB-100x150-RS</t>
        </is>
      </c>
      <c r="D44" s="78"/>
      <c r="E44" s="80" t="inlineStr">
        <is>
          <t>ATB-100x150-RS</t>
        </is>
      </c>
      <c r="F44" s="82" t="inlineStr">
        <is>
          <t>Bayrak</t>
        </is>
      </c>
      <c r="G44" s="84" t="inlineStr">
        <is>
          <t>AKYILDIZ store</t>
        </is>
      </c>
      <c r="H44" s="86" t="n">
        <v>20.0</v>
      </c>
      <c r="I44" s="88" t="n">
        <v>309.33</v>
      </c>
      <c r="J44" s="90" t="n">
        <v>309.32</v>
      </c>
      <c r="K44" s="92" t="n">
        <v>287.75</v>
      </c>
      <c r="L44" s="94" t="n">
        <v>287.74</v>
      </c>
      <c r="M44" s="96" t="n">
        <v>269.86</v>
      </c>
      <c r="N44" s="98" t="n">
        <v>269.85</v>
      </c>
      <c r="O44" s="100"/>
      <c r="P44" s="102"/>
      <c r="Q44" s="104"/>
      <c r="R44" s="106"/>
      <c r="S44" s="108"/>
      <c r="T44" s="110" t="inlineStr">
        <is>
          <t>26 Haziran 08.00-30 Haziran 07.59</t>
        </is>
      </c>
      <c r="U44" s="112" t="n">
        <v>19.0</v>
      </c>
      <c r="V44" s="114" t="n">
        <v>14.9</v>
      </c>
      <c r="W44" s="116" t="n">
        <v>12.7</v>
      </c>
      <c r="X44" s="118" t="n">
        <v>10.5</v>
      </c>
      <c r="Y44" s="120" t="n">
        <v>293.85</v>
      </c>
      <c r="Z44" s="122" t="n">
        <v>14.9</v>
      </c>
      <c r="AA44" s="124" t="n">
        <v>309.32</v>
      </c>
      <c r="AB44" s="126"/>
      <c r="AC44" s="128">
        <f>IF(OR(AB44="",AE44=""),"-",IF(OR(ISNUMBER(SEARCH("3 Günlük",AE44)),ISNUMBER(SEARCH("7 Günlük",AE44)),ISNUMBER(SEARCH("Trendyol Satış Fiyatı",AE44))),IF(AB44&gt;=I44,IF(ISBLANK(P44),"-",P44),IF(AND(AB44&gt;=K44,AB44&lt;=J44),IF(ISBLANK(Q44),"-",Q44),IF(AND(AB44&gt;=M44,AB44&lt;=L44),IF(ISBLANK(R44),"-",R44),IF(AB44&lt;=N44,IF(ISBLANK(S44),"-",S44),"-")))),"-"))</f>
        <v>0.0</v>
      </c>
      <c r="AD44" s="130">
        <f>IF(OR(AB44="",AE44=""),"-",IF(OR(ISNUMBER(SEARCH("4 Günlük",AE44)),ISNUMBER(SEARCH("7 Günlük",AE44)),ISNUMBER(SEARCH("Trendyol Satış Fiyatı",AE44))),IF(AB44&gt;=I44,U44,IF(AND(AB44&gt;=K44,AB44&lt;=J44),V44,IF(AND(AB44&gt;=M44,AB44&lt;=L44),W44,IF(AB44&lt;=N44,X44,"-")))),"-"))</f>
        <v>0.0</v>
      </c>
      <c r="AE44" s="132" t="inlineStr">
        <is>
          <t>4 Günlük Fiyat</t>
        </is>
      </c>
      <c r="AF44" s="134"/>
      <c r="AG44" s="136" t="inlineStr">
        <is>
          <t>rh_9858c2be6ddd1aa2f8d937da00d0feb3</t>
        </is>
      </c>
      <c r="AH44" s="138"/>
      <c r="AI44" s="140" t="inlineStr">
        <is>
          <t>28e1d9461a2c0f35104ce2f1e453ac97</t>
        </is>
      </c>
    </row>
    <row r="45">
      <c r="A45" s="72" t="inlineStr">
        <is>
          <t>Türk Bayrağı 150x225 cm – Raşel Kumaş, Özenli Dikiş</t>
        </is>
      </c>
      <c r="B45" s="74" t="inlineStr">
        <is>
          <t>8697651522300</t>
        </is>
      </c>
      <c r="C45" s="76" t="inlineStr">
        <is>
          <t>TB-RSL-150x225</t>
        </is>
      </c>
      <c r="D45" s="78"/>
      <c r="E45" s="80" t="inlineStr">
        <is>
          <t>TBR-RAS-150x225</t>
        </is>
      </c>
      <c r="F45" s="82" t="inlineStr">
        <is>
          <t>Bayrak</t>
        </is>
      </c>
      <c r="G45" s="84" t="inlineStr">
        <is>
          <t>AKYILDIZ store</t>
        </is>
      </c>
      <c r="H45" s="86" t="n">
        <v>93.0</v>
      </c>
      <c r="I45" s="88" t="n">
        <v>547.06</v>
      </c>
      <c r="J45" s="90" t="n">
        <v>547.05</v>
      </c>
      <c r="K45" s="92" t="n">
        <v>526.74</v>
      </c>
      <c r="L45" s="94" t="n">
        <v>526.73</v>
      </c>
      <c r="M45" s="96" t="n">
        <v>500.18</v>
      </c>
      <c r="N45" s="98" t="n">
        <v>500.17</v>
      </c>
      <c r="O45" s="100"/>
      <c r="P45" s="102"/>
      <c r="Q45" s="104"/>
      <c r="R45" s="106"/>
      <c r="S45" s="108"/>
      <c r="T45" s="110" t="inlineStr">
        <is>
          <t>26 Haziran 08.00-30 Haziran 07.59</t>
        </is>
      </c>
      <c r="U45" s="112" t="n">
        <v>19.0</v>
      </c>
      <c r="V45" s="114" t="n">
        <v>15.7</v>
      </c>
      <c r="W45" s="116" t="n">
        <v>14.6</v>
      </c>
      <c r="X45" s="118" t="n">
        <v>12.9</v>
      </c>
      <c r="Y45" s="120" t="n">
        <v>618.45</v>
      </c>
      <c r="Z45" s="122" t="n">
        <v>19.0</v>
      </c>
      <c r="AA45" s="124" t="n">
        <v>651.0</v>
      </c>
      <c r="AB45" s="126"/>
      <c r="AC45" s="128">
        <f>IF(OR(AB45="",AE45=""),"-",IF(OR(ISNUMBER(SEARCH("3 Günlük",AE45)),ISNUMBER(SEARCH("7 Günlük",AE45)),ISNUMBER(SEARCH("Trendyol Satış Fiyatı",AE45))),IF(AB45&gt;=I45,IF(ISBLANK(P45),"-",P45),IF(AND(AB45&gt;=K45,AB45&lt;=J45),IF(ISBLANK(Q45),"-",Q45),IF(AND(AB45&gt;=M45,AB45&lt;=L45),IF(ISBLANK(R45),"-",R45),IF(AB45&lt;=N45,IF(ISBLANK(S45),"-",S45),"-")))),"-"))</f>
        <v>0.0</v>
      </c>
      <c r="AD45" s="130">
        <f>IF(OR(AB45="",AE45=""),"-",IF(OR(ISNUMBER(SEARCH("4 Günlük",AE45)),ISNUMBER(SEARCH("7 Günlük",AE45)),ISNUMBER(SEARCH("Trendyol Satış Fiyatı",AE45))),IF(AB45&gt;=I45,U45,IF(AND(AB45&gt;=K45,AB45&lt;=J45),V45,IF(AND(AB45&gt;=M45,AB45&lt;=L45),W45,IF(AB45&lt;=N45,X45,"-")))),"-"))</f>
        <v>0.0</v>
      </c>
      <c r="AE45" s="132"/>
      <c r="AF45" s="134"/>
      <c r="AG45" s="136"/>
      <c r="AH45" s="138"/>
      <c r="AI45" s="140" t="inlineStr">
        <is>
          <t>28e1d9461a2c0f35104ce2f1e453ac97</t>
        </is>
      </c>
    </row>
    <row r="46">
      <c r="A46" s="72" t="inlineStr">
        <is>
          <t>Türk Bayrağı 500x750 cm Dış Mekan Direk Tören Kullanımı</t>
        </is>
      </c>
      <c r="B46" s="74" t="inlineStr">
        <is>
          <t>8697654321750</t>
        </is>
      </c>
      <c r="C46" s="76" t="inlineStr">
        <is>
          <t>TBR-RAS-500x750</t>
        </is>
      </c>
      <c r="D46" s="78"/>
      <c r="E46" s="80" t="inlineStr">
        <is>
          <t>TB-RSL-500x750</t>
        </is>
      </c>
      <c r="F46" s="82" t="inlineStr">
        <is>
          <t>Bayrak</t>
        </is>
      </c>
      <c r="G46" s="84" t="inlineStr">
        <is>
          <t>AKYILDIZ store</t>
        </is>
      </c>
      <c r="H46" s="86" t="n">
        <v>49.0</v>
      </c>
      <c r="I46" s="88" t="n">
        <v>4000.86</v>
      </c>
      <c r="J46" s="90" t="n">
        <v>4000.85</v>
      </c>
      <c r="K46" s="92" t="n">
        <v>3620.44</v>
      </c>
      <c r="L46" s="94" t="n">
        <v>3620.43</v>
      </c>
      <c r="M46" s="96" t="n">
        <v>3225.6</v>
      </c>
      <c r="N46" s="98" t="n">
        <v>3225.59</v>
      </c>
      <c r="O46" s="100"/>
      <c r="P46" s="102"/>
      <c r="Q46" s="104"/>
      <c r="R46" s="106"/>
      <c r="S46" s="108"/>
      <c r="T46" s="110" t="inlineStr">
        <is>
          <t>26 Haziran 08.00-30 Haziran 07.59</t>
        </is>
      </c>
      <c r="U46" s="112" t="n">
        <v>19.0</v>
      </c>
      <c r="V46" s="114" t="n">
        <v>15.1</v>
      </c>
      <c r="W46" s="116" t="n">
        <v>12.0</v>
      </c>
      <c r="X46" s="118" t="n">
        <v>7.9</v>
      </c>
      <c r="Y46" s="120" t="n">
        <v>3800.81</v>
      </c>
      <c r="Z46" s="122" t="n">
        <v>15.1</v>
      </c>
      <c r="AA46" s="124" t="n">
        <v>4000.85</v>
      </c>
      <c r="AB46" s="126"/>
      <c r="AC46" s="128">
        <f>IF(OR(AB46="",AE46=""),"-",IF(OR(ISNUMBER(SEARCH("3 Günlük",AE46)),ISNUMBER(SEARCH("7 Günlük",AE46)),ISNUMBER(SEARCH("Trendyol Satış Fiyatı",AE46))),IF(AB46&gt;=I46,IF(ISBLANK(P46),"-",P46),IF(AND(AB46&gt;=K46,AB46&lt;=J46),IF(ISBLANK(Q46),"-",Q46),IF(AND(AB46&gt;=M46,AB46&lt;=L46),IF(ISBLANK(R46),"-",R46),IF(AB46&lt;=N46,IF(ISBLANK(S46),"-",S46),"-")))),"-"))</f>
        <v>0.0</v>
      </c>
      <c r="AD46" s="130">
        <f>IF(OR(AB46="",AE46=""),"-",IF(OR(ISNUMBER(SEARCH("4 Günlük",AE46)),ISNUMBER(SEARCH("7 Günlük",AE46)),ISNUMBER(SEARCH("Trendyol Satış Fiyatı",AE46))),IF(AB46&gt;=I46,U46,IF(AND(AB46&gt;=K46,AB46&lt;=J46),V46,IF(AND(AB46&gt;=M46,AB46&lt;=L46),W46,IF(AB46&lt;=N46,X46,"-")))),"-"))</f>
        <v>0.0</v>
      </c>
      <c r="AE46" s="132" t="inlineStr">
        <is>
          <t>4 Günlük Fiyat</t>
        </is>
      </c>
      <c r="AF46" s="134"/>
      <c r="AG46" s="136" t="inlineStr">
        <is>
          <t>rh_6cff114a16cf670ecb79f656dfb687ad</t>
        </is>
      </c>
      <c r="AH46" s="138"/>
      <c r="AI46" s="140" t="inlineStr">
        <is>
          <t>28e1d9461a2c0f35104ce2f1e453ac97</t>
        </is>
      </c>
    </row>
    <row r="47">
      <c r="A47" s="72" t="inlineStr">
        <is>
          <t>10 ADET Türk Bayrağı 50x70 cm Pigment Raşel Sopalı - Resmi Bayram, Miting, Kutlama</t>
        </is>
      </c>
      <c r="B47" s="74" t="inlineStr">
        <is>
          <t>8697654321075</t>
        </is>
      </c>
      <c r="C47" s="76" t="inlineStr">
        <is>
          <t>TBR-RAS-10-50x75</t>
        </is>
      </c>
      <c r="D47" s="78"/>
      <c r="E47" s="80" t="inlineStr">
        <is>
          <t>TB-RSL-SOPALI-50x75</t>
        </is>
      </c>
      <c r="F47" s="82" t="inlineStr">
        <is>
          <t>Bayrak</t>
        </is>
      </c>
      <c r="G47" s="84" t="inlineStr">
        <is>
          <t>AKYILDIZ store</t>
        </is>
      </c>
      <c r="H47" s="86" t="n">
        <v>936.0</v>
      </c>
      <c r="I47" s="88" t="n">
        <v>657.55</v>
      </c>
      <c r="J47" s="90" t="n">
        <v>657.54</v>
      </c>
      <c r="K47" s="92" t="n">
        <v>605.58</v>
      </c>
      <c r="L47" s="94" t="n">
        <v>605.57</v>
      </c>
      <c r="M47" s="96" t="n">
        <v>562.26</v>
      </c>
      <c r="N47" s="98" t="n">
        <v>562.25</v>
      </c>
      <c r="O47" s="100"/>
      <c r="P47" s="102"/>
      <c r="Q47" s="104"/>
      <c r="R47" s="106"/>
      <c r="S47" s="108"/>
      <c r="T47" s="110" t="inlineStr">
        <is>
          <t>26 Haziran 08.00-30 Haziran 07.59</t>
        </is>
      </c>
      <c r="U47" s="112" t="n">
        <v>19.0</v>
      </c>
      <c r="V47" s="114" t="n">
        <v>14.7</v>
      </c>
      <c r="W47" s="116" t="n">
        <v>12.1</v>
      </c>
      <c r="X47" s="118" t="n">
        <v>9.5</v>
      </c>
      <c r="Y47" s="120" t="n">
        <v>703.0</v>
      </c>
      <c r="Z47" s="122" t="n">
        <v>19.0</v>
      </c>
      <c r="AA47" s="124" t="n">
        <v>740.0</v>
      </c>
      <c r="AB47" s="126"/>
      <c r="AC47" s="128">
        <f>IF(OR(AB47="",AE47=""),"-",IF(OR(ISNUMBER(SEARCH("3 Günlük",AE47)),ISNUMBER(SEARCH("7 Günlük",AE47)),ISNUMBER(SEARCH("Trendyol Satış Fiyatı",AE47))),IF(AB47&gt;=I47,IF(ISBLANK(P47),"-",P47),IF(AND(AB47&gt;=K47,AB47&lt;=J47),IF(ISBLANK(Q47),"-",Q47),IF(AND(AB47&gt;=M47,AB47&lt;=L47),IF(ISBLANK(R47),"-",R47),IF(AB47&lt;=N47,IF(ISBLANK(S47),"-",S47),"-")))),"-"))</f>
        <v>0.0</v>
      </c>
      <c r="AD47" s="130">
        <f>IF(OR(AB47="",AE47=""),"-",IF(OR(ISNUMBER(SEARCH("4 Günlük",AE47)),ISNUMBER(SEARCH("7 Günlük",AE47)),ISNUMBER(SEARCH("Trendyol Satış Fiyatı",AE47))),IF(AB47&gt;=I47,U47,IF(AND(AB47&gt;=K47,AB47&lt;=J47),V47,IF(AND(AB47&gt;=M47,AB47&lt;=L47),W47,IF(AB47&lt;=N47,X47,"-")))),"-"))</f>
        <v>0.0</v>
      </c>
      <c r="AE47" s="132"/>
      <c r="AF47" s="134"/>
      <c r="AG47" s="136"/>
      <c r="AH47" s="138"/>
      <c r="AI47" s="140" t="inlineStr">
        <is>
          <t>28e1d9461a2c0f35104ce2f1e453ac97</t>
        </is>
      </c>
    </row>
    <row r="48">
      <c r="A48" s="72" t="inlineStr">
        <is>
          <t>Türk Bayrağı 400x600 cm - Raşel Kumaş 1. Kalite</t>
        </is>
      </c>
      <c r="B48" s="74" t="inlineStr">
        <is>
          <t>TYBV8U2HKSUFG3JI59</t>
        </is>
      </c>
      <c r="C48" s="76" t="inlineStr">
        <is>
          <t/>
        </is>
      </c>
      <c r="D48" s="78"/>
      <c r="E48" s="80" t="inlineStr">
        <is>
          <t>EsiByrk600x600Rsl</t>
        </is>
      </c>
      <c r="F48" s="82" t="inlineStr">
        <is>
          <t>Bayrak</t>
        </is>
      </c>
      <c r="G48" s="84" t="inlineStr">
        <is>
          <t>Bayrak</t>
        </is>
      </c>
      <c r="H48" s="86" t="n">
        <v>44.0</v>
      </c>
      <c r="I48" s="88" t="n">
        <v>2255.78</v>
      </c>
      <c r="J48" s="90" t="n">
        <v>2255.77</v>
      </c>
      <c r="K48" s="92" t="n">
        <v>2152.17</v>
      </c>
      <c r="L48" s="94" t="n">
        <v>2152.16</v>
      </c>
      <c r="M48" s="96" t="n">
        <v>2063.18</v>
      </c>
      <c r="N48" s="98" t="n">
        <v>2063.17</v>
      </c>
      <c r="O48" s="100"/>
      <c r="P48" s="102"/>
      <c r="Q48" s="104"/>
      <c r="R48" s="106"/>
      <c r="S48" s="108"/>
      <c r="T48" s="110" t="inlineStr">
        <is>
          <t>26 Haziran 08.00-30 Haziran 07.59</t>
        </is>
      </c>
      <c r="U48" s="112" t="n">
        <v>19.0</v>
      </c>
      <c r="V48" s="114" t="n">
        <v>15.5</v>
      </c>
      <c r="W48" s="116" t="n">
        <v>14.1</v>
      </c>
      <c r="X48" s="118" t="n">
        <v>12.7</v>
      </c>
      <c r="Y48" s="120" t="n">
        <v>2600.0</v>
      </c>
      <c r="Z48" s="122" t="n">
        <v>19.0</v>
      </c>
      <c r="AA48" s="124" t="n">
        <v>2600.0</v>
      </c>
      <c r="AB48" s="126"/>
      <c r="AC48" s="128">
        <f>IF(OR(AB48="",AE48=""),"-",IF(OR(ISNUMBER(SEARCH("3 Günlük",AE48)),ISNUMBER(SEARCH("7 Günlük",AE48)),ISNUMBER(SEARCH("Trendyol Satış Fiyatı",AE48))),IF(AB48&gt;=I48,IF(ISBLANK(P48),"-",P48),IF(AND(AB48&gt;=K48,AB48&lt;=J48),IF(ISBLANK(Q48),"-",Q48),IF(AND(AB48&gt;=M48,AB48&lt;=L48),IF(ISBLANK(R48),"-",R48),IF(AB48&lt;=N48,IF(ISBLANK(S48),"-",S48),"-")))),"-"))</f>
        <v>0.0</v>
      </c>
      <c r="AD48" s="130">
        <f>IF(OR(AB48="",AE48=""),"-",IF(OR(ISNUMBER(SEARCH("4 Günlük",AE48)),ISNUMBER(SEARCH("7 Günlük",AE48)),ISNUMBER(SEARCH("Trendyol Satış Fiyatı",AE48))),IF(AB48&gt;=I48,U48,IF(AND(AB48&gt;=K48,AB48&lt;=J48),V48,IF(AND(AB48&gt;=M48,AB48&lt;=L48),W48,IF(AB48&lt;=N48,X48,"-")))),"-"))</f>
        <v>0.0</v>
      </c>
      <c r="AE48" s="132"/>
      <c r="AF48" s="134"/>
      <c r="AG48" s="136"/>
      <c r="AH48" s="138"/>
      <c r="AI48" s="140" t="inlineStr">
        <is>
          <t>28e1d9461a2c0f35104ce2f1e453ac97</t>
        </is>
      </c>
    </row>
    <row r="49">
      <c r="A49" s="72" t="inlineStr">
        <is>
          <t>Türk Bayrağı 300x450 cm  1.Kalite Raşel Kumaş</t>
        </is>
      </c>
      <c r="B49" s="74" t="inlineStr">
        <is>
          <t>21887469688</t>
        </is>
      </c>
      <c r="C49" s="76" t="inlineStr">
        <is>
          <t/>
        </is>
      </c>
      <c r="D49" s="78"/>
      <c r="E49" s="80" t="inlineStr">
        <is>
          <t>BLSN101</t>
        </is>
      </c>
      <c r="F49" s="82" t="inlineStr">
        <is>
          <t>Bayrak</t>
        </is>
      </c>
      <c r="G49" s="84" t="inlineStr">
        <is>
          <t>Bilsan</t>
        </is>
      </c>
      <c r="H49" s="86" t="n">
        <v>30.0</v>
      </c>
      <c r="I49" s="88" t="n">
        <v>1290.04</v>
      </c>
      <c r="J49" s="90" t="n">
        <v>1290.03</v>
      </c>
      <c r="K49" s="92" t="n">
        <v>1223.35</v>
      </c>
      <c r="L49" s="94" t="n">
        <v>1223.34</v>
      </c>
      <c r="M49" s="96" t="n">
        <v>1164.99</v>
      </c>
      <c r="N49" s="98" t="n">
        <v>1164.98</v>
      </c>
      <c r="O49" s="100"/>
      <c r="P49" s="102"/>
      <c r="Q49" s="104"/>
      <c r="R49" s="106"/>
      <c r="S49" s="108"/>
      <c r="T49" s="110" t="inlineStr">
        <is>
          <t>26 Haziran 08.00-30 Haziran 07.59</t>
        </is>
      </c>
      <c r="U49" s="112" t="n">
        <v>19.0</v>
      </c>
      <c r="V49" s="114" t="n">
        <v>15.3</v>
      </c>
      <c r="W49" s="116" t="n">
        <v>13.7</v>
      </c>
      <c r="X49" s="118" t="n">
        <v>12.1</v>
      </c>
      <c r="Y49" s="120" t="n">
        <v>1399.0</v>
      </c>
      <c r="Z49" s="122" t="n">
        <v>19.0</v>
      </c>
      <c r="AA49" s="124" t="n">
        <v>1399.0</v>
      </c>
      <c r="AB49" s="126"/>
      <c r="AC49" s="128">
        <f>IF(OR(AB49="",AE49=""),"-",IF(OR(ISNUMBER(SEARCH("3 Günlük",AE49)),ISNUMBER(SEARCH("7 Günlük",AE49)),ISNUMBER(SEARCH("Trendyol Satış Fiyatı",AE49))),IF(AB49&gt;=I49,IF(ISBLANK(P49),"-",P49),IF(AND(AB49&gt;=K49,AB49&lt;=J49),IF(ISBLANK(Q49),"-",Q49),IF(AND(AB49&gt;=M49,AB49&lt;=L49),IF(ISBLANK(R49),"-",R49),IF(AB49&lt;=N49,IF(ISBLANK(S49),"-",S49),"-")))),"-"))</f>
        <v>0.0</v>
      </c>
      <c r="AD49" s="130">
        <f>IF(OR(AB49="",AE49=""),"-",IF(OR(ISNUMBER(SEARCH("4 Günlük",AE49)),ISNUMBER(SEARCH("7 Günlük",AE49)),ISNUMBER(SEARCH("Trendyol Satış Fiyatı",AE49))),IF(AB49&gt;=I49,U49,IF(AND(AB49&gt;=K49,AB49&lt;=J49),V49,IF(AND(AB49&gt;=M49,AB49&lt;=L49),W49,IF(AB49&lt;=N49,X49,"-")))),"-"))</f>
        <v>0.0</v>
      </c>
      <c r="AE49" s="132"/>
      <c r="AF49" s="134"/>
      <c r="AG49" s="136"/>
      <c r="AH49" s="138"/>
      <c r="AI49" s="140" t="inlineStr">
        <is>
          <t>28e1d9461a2c0f35104ce2f1e453ac97</t>
        </is>
      </c>
    </row>
    <row r="50">
      <c r="A50" s="72" t="inlineStr">
        <is>
          <t>150x225 Cm Atatürk Baskılı (ÖLÇÜ OLARAK ODA DUVARINI BOYDAN KAPLAR) Atatürk Posteri</t>
        </is>
      </c>
      <c r="B50" s="74" t="inlineStr">
        <is>
          <t>ATA150X225R</t>
        </is>
      </c>
      <c r="C50" s="76" t="inlineStr">
        <is>
          <t/>
        </is>
      </c>
      <c r="D50" s="78"/>
      <c r="E50" s="80" t="inlineStr">
        <is>
          <t>ATA150X225R</t>
        </is>
      </c>
      <c r="F50" s="82" t="inlineStr">
        <is>
          <t>Bayrak</t>
        </is>
      </c>
      <c r="G50" s="84" t="inlineStr">
        <is>
          <t>Raşel kumaş</t>
        </is>
      </c>
      <c r="H50" s="86" t="n">
        <v>3.0</v>
      </c>
      <c r="I50" s="88" t="n">
        <v>412.54</v>
      </c>
      <c r="J50" s="90" t="n">
        <v>412.53</v>
      </c>
      <c r="K50" s="92" t="n">
        <v>389.49</v>
      </c>
      <c r="L50" s="94" t="n">
        <v>389.48</v>
      </c>
      <c r="M50" s="96" t="n">
        <v>359.68</v>
      </c>
      <c r="N50" s="98" t="n">
        <v>359.67</v>
      </c>
      <c r="O50" s="100"/>
      <c r="P50" s="102"/>
      <c r="Q50" s="104"/>
      <c r="R50" s="106"/>
      <c r="S50" s="108"/>
      <c r="T50" s="110" t="inlineStr">
        <is>
          <t>26 Haziran 08.00-30 Haziran 07.59</t>
        </is>
      </c>
      <c r="U50" s="112" t="n">
        <v>19.0</v>
      </c>
      <c r="V50" s="114" t="n">
        <v>14.8</v>
      </c>
      <c r="W50" s="116" t="n">
        <v>12.4</v>
      </c>
      <c r="X50" s="118" t="n">
        <v>8.9</v>
      </c>
      <c r="Y50" s="120" t="n">
        <v>585.0</v>
      </c>
      <c r="Z50" s="122" t="n">
        <v>19.0</v>
      </c>
      <c r="AA50" s="124" t="n">
        <v>585.0</v>
      </c>
      <c r="AB50" s="126"/>
      <c r="AC50" s="128">
        <f>IF(OR(AB50="",AE50=""),"-",IF(OR(ISNUMBER(SEARCH("3 Günlük",AE50)),ISNUMBER(SEARCH("7 Günlük",AE50)),ISNUMBER(SEARCH("Trendyol Satış Fiyatı",AE50))),IF(AB50&gt;=I50,IF(ISBLANK(P50),"-",P50),IF(AND(AB50&gt;=K50,AB50&lt;=J50),IF(ISBLANK(Q50),"-",Q50),IF(AND(AB50&gt;=M50,AB50&lt;=L50),IF(ISBLANK(R50),"-",R50),IF(AB50&lt;=N50,IF(ISBLANK(S50),"-",S50),"-")))),"-"))</f>
        <v>0.0</v>
      </c>
      <c r="AD50" s="130">
        <f>IF(OR(AB50="",AE50=""),"-",IF(OR(ISNUMBER(SEARCH("4 Günlük",AE50)),ISNUMBER(SEARCH("7 Günlük",AE50)),ISNUMBER(SEARCH("Trendyol Satış Fiyatı",AE50))),IF(AB50&gt;=I50,U50,IF(AND(AB50&gt;=K50,AB50&lt;=J50),V50,IF(AND(AB50&gt;=M50,AB50&lt;=L50),W50,IF(AB50&lt;=N50,X50,"-")))),"-"))</f>
        <v>0.0</v>
      </c>
      <c r="AE50" s="132"/>
      <c r="AF50" s="134"/>
      <c r="AG50" s="136"/>
      <c r="AH50" s="138"/>
      <c r="AI50" s="140" t="inlineStr">
        <is>
          <t>28e1d9461a2c0f35104ce2f1e453ac97</t>
        </is>
      </c>
    </row>
    <row r="51">
      <c r="A51" s="72" t="inlineStr">
        <is>
          <t>50x75 CM ATATÜRK BASKILI TÜRK BAYRAĞI ATATÜRK POSTERİ RAŞEL KUMAŞ</t>
        </is>
      </c>
      <c r="B51" s="74" t="inlineStr">
        <is>
          <t>ATA50X75R</t>
        </is>
      </c>
      <c r="C51" s="76"/>
      <c r="D51" s="78"/>
      <c r="E51" s="80" t="inlineStr">
        <is>
          <t>ATA50X75R</t>
        </is>
      </c>
      <c r="F51" s="82" t="inlineStr">
        <is>
          <t>Bayrak</t>
        </is>
      </c>
      <c r="G51" s="84" t="inlineStr">
        <is>
          <t>Raşel kumaş</t>
        </is>
      </c>
      <c r="H51" s="86" t="n">
        <v>97.0</v>
      </c>
      <c r="I51" s="88" t="n">
        <v>84.3</v>
      </c>
      <c r="J51" s="90" t="n">
        <v>84.29</v>
      </c>
      <c r="K51" s="92" t="n">
        <v>76.6</v>
      </c>
      <c r="L51" s="94" t="n">
        <v>76.59</v>
      </c>
      <c r="M51" s="96" t="n">
        <v>66.43</v>
      </c>
      <c r="N51" s="98" t="n">
        <v>66.42</v>
      </c>
      <c r="O51" s="100"/>
      <c r="P51" s="102"/>
      <c r="Q51" s="104"/>
      <c r="R51" s="106"/>
      <c r="S51" s="108"/>
      <c r="T51" s="110" t="inlineStr">
        <is>
          <t>26 Haziran 08.00-30 Haziran 07.59</t>
        </is>
      </c>
      <c r="U51" s="112" t="n">
        <v>19.0</v>
      </c>
      <c r="V51" s="114" t="n">
        <v>14.3</v>
      </c>
      <c r="W51" s="116" t="n">
        <v>11.2</v>
      </c>
      <c r="X51" s="118" t="n">
        <v>6.0</v>
      </c>
      <c r="Y51" s="120" t="n">
        <v>120.0</v>
      </c>
      <c r="Z51" s="122" t="n">
        <v>19.0</v>
      </c>
      <c r="AA51" s="124" t="n">
        <v>120.0</v>
      </c>
      <c r="AB51" s="126"/>
      <c r="AC51" s="128">
        <f>IF(OR(AB51="",AE51=""),"-",IF(OR(ISNUMBER(SEARCH("3 Günlük",AE51)),ISNUMBER(SEARCH("7 Günlük",AE51)),ISNUMBER(SEARCH("Trendyol Satış Fiyatı",AE51))),IF(AB51&gt;=I51,IF(ISBLANK(P51),"-",P51),IF(AND(AB51&gt;=K51,AB51&lt;=J51),IF(ISBLANK(Q51),"-",Q51),IF(AND(AB51&gt;=M51,AB51&lt;=L51),IF(ISBLANK(R51),"-",R51),IF(AB51&lt;=N51,IF(ISBLANK(S51),"-",S51),"-")))),"-"))</f>
        <v>0.0</v>
      </c>
      <c r="AD51" s="130">
        <f>IF(OR(AB51="",AE51=""),"-",IF(OR(ISNUMBER(SEARCH("4 Günlük",AE51)),ISNUMBER(SEARCH("7 Günlük",AE51)),ISNUMBER(SEARCH("Trendyol Satış Fiyatı",AE51))),IF(AB51&gt;=I51,U51,IF(AND(AB51&gt;=K51,AB51&lt;=J51),V51,IF(AND(AB51&gt;=M51,AB51&lt;=L51),W51,IF(AB51&lt;=N51,X51,"-")))),"-"))</f>
        <v>0.0</v>
      </c>
      <c r="AE51" s="132"/>
      <c r="AF51" s="134"/>
      <c r="AG51" s="136"/>
      <c r="AH51" s="138"/>
      <c r="AI51" s="140" t="inlineStr">
        <is>
          <t>28e1d9461a2c0f35104ce2f1e453ac97</t>
        </is>
      </c>
    </row>
    <row r="52">
      <c r="A52" s="72" t="inlineStr">
        <is>
          <t>600X900 CM RAŞEL KUMAŞ TÜRK BAYRAĞI</t>
        </is>
      </c>
      <c r="B52" s="74" t="inlineStr">
        <is>
          <t>TB600X900R</t>
        </is>
      </c>
      <c r="C52" s="76"/>
      <c r="D52" s="78"/>
      <c r="E52" s="80" t="inlineStr">
        <is>
          <t>TB600X900R</t>
        </is>
      </c>
      <c r="F52" s="82" t="inlineStr">
        <is>
          <t>Bayrak</t>
        </is>
      </c>
      <c r="G52" s="84" t="inlineStr">
        <is>
          <t>Raşel kumaş</t>
        </is>
      </c>
      <c r="H52" s="86" t="n">
        <v>8.0</v>
      </c>
      <c r="I52" s="88" t="n">
        <v>4797.39</v>
      </c>
      <c r="J52" s="90" t="n">
        <v>4797.38</v>
      </c>
      <c r="K52" s="92" t="n">
        <v>4564.61</v>
      </c>
      <c r="L52" s="94" t="n">
        <v>4564.6</v>
      </c>
      <c r="M52" s="96" t="n">
        <v>4363.88</v>
      </c>
      <c r="N52" s="98" t="n">
        <v>4363.87</v>
      </c>
      <c r="O52" s="100"/>
      <c r="P52" s="102"/>
      <c r="Q52" s="104"/>
      <c r="R52" s="106"/>
      <c r="S52" s="108"/>
      <c r="T52" s="110" t="inlineStr">
        <is>
          <t>26 Haziran 08.00-30 Haziran 07.59</t>
        </is>
      </c>
      <c r="U52" s="112" t="n">
        <v>19.0</v>
      </c>
      <c r="V52" s="114" t="n">
        <v>15.4</v>
      </c>
      <c r="W52" s="116" t="n">
        <v>13.9</v>
      </c>
      <c r="X52" s="118" t="n">
        <v>12.5</v>
      </c>
      <c r="Y52" s="120" t="n">
        <v>4797.38</v>
      </c>
      <c r="Z52" s="122" t="n">
        <v>15.4</v>
      </c>
      <c r="AA52" s="124" t="n">
        <v>4797.38</v>
      </c>
      <c r="AB52" s="126"/>
      <c r="AC52" s="128">
        <f>IF(OR(AB52="",AE52=""),"-",IF(OR(ISNUMBER(SEARCH("3 Günlük",AE52)),ISNUMBER(SEARCH("7 Günlük",AE52)),ISNUMBER(SEARCH("Trendyol Satış Fiyatı",AE52))),IF(AB52&gt;=I52,IF(ISBLANK(P52),"-",P52),IF(AND(AB52&gt;=K52,AB52&lt;=J52),IF(ISBLANK(Q52),"-",Q52),IF(AND(AB52&gt;=M52,AB52&lt;=L52),IF(ISBLANK(R52),"-",R52),IF(AB52&lt;=N52,IF(ISBLANK(S52),"-",S52),"-")))),"-"))</f>
        <v>0.0</v>
      </c>
      <c r="AD52" s="130">
        <f>IF(OR(AB52="",AE52=""),"-",IF(OR(ISNUMBER(SEARCH("4 Günlük",AE52)),ISNUMBER(SEARCH("7 Günlük",AE52)),ISNUMBER(SEARCH("Trendyol Satış Fiyatı",AE52))),IF(AB52&gt;=I52,U52,IF(AND(AB52&gt;=K52,AB52&lt;=J52),V52,IF(AND(AB52&gt;=M52,AB52&lt;=L52),W52,IF(AB52&lt;=N52,X52,"-")))),"-"))</f>
        <v>0.0</v>
      </c>
      <c r="AE52" s="132" t="inlineStr">
        <is>
          <t>4 Günlük Fiyat</t>
        </is>
      </c>
      <c r="AF52" s="134"/>
      <c r="AG52" s="136" t="inlineStr">
        <is>
          <t>rh_2b9d5e92dc34831e4bb152420af6bd72</t>
        </is>
      </c>
      <c r="AH52" s="138"/>
      <c r="AI52" s="140" t="inlineStr">
        <is>
          <t>28e1d9461a2c0f35104ce2f1e453ac97</t>
        </is>
      </c>
    </row>
    <row r="53">
      <c r="A53" s="72" t="inlineStr">
        <is>
          <t>400x600 Cm Türk Bayrağı</t>
        </is>
      </c>
      <c r="B53" s="74" t="inlineStr">
        <is>
          <t>TB400X600R</t>
        </is>
      </c>
      <c r="C53" s="76" t="inlineStr">
        <is>
          <t/>
        </is>
      </c>
      <c r="D53" s="78"/>
      <c r="E53" s="80" t="inlineStr">
        <is>
          <t>TB400X600R</t>
        </is>
      </c>
      <c r="F53" s="82" t="inlineStr">
        <is>
          <t>Bayrak</t>
        </is>
      </c>
      <c r="G53" s="84" t="inlineStr">
        <is>
          <t>Raşel kumaş</t>
        </is>
      </c>
      <c r="H53" s="86" t="n">
        <v>33.0</v>
      </c>
      <c r="I53" s="88" t="n">
        <v>2309.33</v>
      </c>
      <c r="J53" s="90" t="n">
        <v>2309.32</v>
      </c>
      <c r="K53" s="92" t="n">
        <v>2227.61</v>
      </c>
      <c r="L53" s="94" t="n">
        <v>2227.6</v>
      </c>
      <c r="M53" s="96" t="n">
        <v>2155.68</v>
      </c>
      <c r="N53" s="98" t="n">
        <v>2155.67</v>
      </c>
      <c r="O53" s="100"/>
      <c r="P53" s="102"/>
      <c r="Q53" s="104"/>
      <c r="R53" s="106"/>
      <c r="S53" s="108"/>
      <c r="T53" s="110" t="inlineStr">
        <is>
          <t>26 Haziran 08.00-30 Haziran 07.59</t>
        </is>
      </c>
      <c r="U53" s="112" t="n">
        <v>19.0</v>
      </c>
      <c r="V53" s="114" t="n">
        <v>15.7</v>
      </c>
      <c r="W53" s="116" t="n">
        <v>14.6</v>
      </c>
      <c r="X53" s="118" t="n">
        <v>13.6</v>
      </c>
      <c r="Y53" s="120" t="n">
        <v>2600.0</v>
      </c>
      <c r="Z53" s="122" t="n">
        <v>19.0</v>
      </c>
      <c r="AA53" s="124" t="n">
        <v>2600.0</v>
      </c>
      <c r="AB53" s="126"/>
      <c r="AC53" s="128">
        <f>IF(OR(AB53="",AE53=""),"-",IF(OR(ISNUMBER(SEARCH("3 Günlük",AE53)),ISNUMBER(SEARCH("7 Günlük",AE53)),ISNUMBER(SEARCH("Trendyol Satış Fiyatı",AE53))),IF(AB53&gt;=I53,IF(ISBLANK(P53),"-",P53),IF(AND(AB53&gt;=K53,AB53&lt;=J53),IF(ISBLANK(Q53),"-",Q53),IF(AND(AB53&gt;=M53,AB53&lt;=L53),IF(ISBLANK(R53),"-",R53),IF(AB53&lt;=N53,IF(ISBLANK(S53),"-",S53),"-")))),"-"))</f>
        <v>0.0</v>
      </c>
      <c r="AD53" s="130">
        <f>IF(OR(AB53="",AE53=""),"-",IF(OR(ISNUMBER(SEARCH("4 Günlük",AE53)),ISNUMBER(SEARCH("7 Günlük",AE53)),ISNUMBER(SEARCH("Trendyol Satış Fiyatı",AE53))),IF(AB53&gt;=I53,U53,IF(AND(AB53&gt;=K53,AB53&lt;=J53),V53,IF(AND(AB53&gt;=M53,AB53&lt;=L53),W53,IF(AB53&lt;=N53,X53,"-")))),"-"))</f>
        <v>0.0</v>
      </c>
      <c r="AE53" s="132"/>
      <c r="AF53" s="134"/>
      <c r="AG53" s="136"/>
      <c r="AH53" s="138"/>
      <c r="AI53" s="140" t="inlineStr">
        <is>
          <t>28e1d9461a2c0f35104ce2f1e453ac97</t>
        </is>
      </c>
    </row>
    <row r="54">
      <c r="A54" s="72" t="inlineStr">
        <is>
          <t>400x600 Cm Alpaka Kumaş Türk Bayrağı</t>
        </is>
      </c>
      <c r="B54" s="74" t="inlineStr">
        <is>
          <t>TYB5EFHHSUF53HP658</t>
        </is>
      </c>
      <c r="C54" s="76" t="inlineStr">
        <is>
          <t/>
        </is>
      </c>
      <c r="D54" s="78"/>
      <c r="E54" s="80" t="inlineStr">
        <is>
          <t>400x600cm</t>
        </is>
      </c>
      <c r="F54" s="82" t="inlineStr">
        <is>
          <t>Bayrak</t>
        </is>
      </c>
      <c r="G54" s="84" t="inlineStr">
        <is>
          <t>Raşel kumaş</t>
        </is>
      </c>
      <c r="H54" s="86" t="n">
        <v>50.0</v>
      </c>
      <c r="I54" s="88" t="n">
        <v>2375.26</v>
      </c>
      <c r="J54" s="90" t="n">
        <v>2375.25</v>
      </c>
      <c r="K54" s="92" t="n">
        <v>2283.77</v>
      </c>
      <c r="L54" s="94" t="n">
        <v>2283.76</v>
      </c>
      <c r="M54" s="96" t="n">
        <v>2165.87</v>
      </c>
      <c r="N54" s="98" t="n">
        <v>2165.86</v>
      </c>
      <c r="O54" s="100"/>
      <c r="P54" s="102"/>
      <c r="Q54" s="104"/>
      <c r="R54" s="106"/>
      <c r="S54" s="108"/>
      <c r="T54" s="110" t="inlineStr">
        <is>
          <t>26 Haziran 08.00-30 Haziran 07.59</t>
        </is>
      </c>
      <c r="U54" s="112" t="n">
        <v>19.0</v>
      </c>
      <c r="V54" s="114" t="n">
        <v>15.7</v>
      </c>
      <c r="W54" s="116" t="n">
        <v>14.5</v>
      </c>
      <c r="X54" s="118" t="n">
        <v>12.8</v>
      </c>
      <c r="Y54" s="120" t="n">
        <v>2600.0</v>
      </c>
      <c r="Z54" s="122" t="n">
        <v>19.0</v>
      </c>
      <c r="AA54" s="124" t="n">
        <v>2600.0</v>
      </c>
      <c r="AB54" s="126"/>
      <c r="AC54" s="128">
        <f>IF(OR(AB54="",AE54=""),"-",IF(OR(ISNUMBER(SEARCH("3 Günlük",AE54)),ISNUMBER(SEARCH("7 Günlük",AE54)),ISNUMBER(SEARCH("Trendyol Satış Fiyatı",AE54))),IF(AB54&gt;=I54,IF(ISBLANK(P54),"-",P54),IF(AND(AB54&gt;=K54,AB54&lt;=J54),IF(ISBLANK(Q54),"-",Q54),IF(AND(AB54&gt;=M54,AB54&lt;=L54),IF(ISBLANK(R54),"-",R54),IF(AB54&lt;=N54,IF(ISBLANK(S54),"-",S54),"-")))),"-"))</f>
        <v>0.0</v>
      </c>
      <c r="AD54" s="130">
        <f>IF(OR(AB54="",AE54=""),"-",IF(OR(ISNUMBER(SEARCH("4 Günlük",AE54)),ISNUMBER(SEARCH("7 Günlük",AE54)),ISNUMBER(SEARCH("Trendyol Satış Fiyatı",AE54))),IF(AB54&gt;=I54,U54,IF(AND(AB54&gt;=K54,AB54&lt;=J54),V54,IF(AND(AB54&gt;=M54,AB54&lt;=L54),W54,IF(AB54&lt;=N54,X54,"-")))),"-"))</f>
        <v>0.0</v>
      </c>
      <c r="AE54" s="132"/>
      <c r="AF54" s="134"/>
      <c r="AG54" s="136"/>
      <c r="AH54" s="138"/>
      <c r="AI54" s="140" t="inlineStr">
        <is>
          <t>28e1d9461a2c0f35104ce2f1e453ac97</t>
        </is>
      </c>
    </row>
    <row r="55">
      <c r="A55" s="72" t="inlineStr">
        <is>
          <t>Türk Bayrağı 30x45 Cm Özel Alpaka Kumaş Bez Bayrak</t>
        </is>
      </c>
      <c r="B55" s="74" t="inlineStr">
        <is>
          <t>8697603068593</t>
        </is>
      </c>
      <c r="C55" s="76"/>
      <c r="D55" s="78"/>
      <c r="E55" s="80" t="inlineStr">
        <is>
          <t>ultsST08674</t>
        </is>
      </c>
      <c r="F55" s="82" t="inlineStr">
        <is>
          <t>Bayrak</t>
        </is>
      </c>
      <c r="G55" s="84" t="inlineStr">
        <is>
          <t>Abka</t>
        </is>
      </c>
      <c r="H55" s="86" t="n">
        <v>977.0</v>
      </c>
      <c r="I55" s="88" t="n">
        <v>89.69</v>
      </c>
      <c r="J55" s="90" t="n">
        <v>89.68</v>
      </c>
      <c r="K55" s="92" t="n">
        <v>84.36</v>
      </c>
      <c r="L55" s="94" t="n">
        <v>84.35</v>
      </c>
      <c r="M55" s="96" t="n">
        <v>77.15</v>
      </c>
      <c r="N55" s="98" t="n">
        <v>77.14</v>
      </c>
      <c r="O55" s="100"/>
      <c r="P55" s="102"/>
      <c r="Q55" s="104"/>
      <c r="R55" s="106"/>
      <c r="S55" s="108"/>
      <c r="T55" s="110" t="inlineStr">
        <is>
          <t>26 Haziran 08.00-30 Haziran 07.59</t>
        </is>
      </c>
      <c r="U55" s="112" t="n">
        <v>19.0</v>
      </c>
      <c r="V55" s="114" t="n">
        <v>15.1</v>
      </c>
      <c r="W55" s="116" t="n">
        <v>13.2</v>
      </c>
      <c r="X55" s="118" t="n">
        <v>10.2</v>
      </c>
      <c r="Y55" s="120" t="n">
        <v>84.35</v>
      </c>
      <c r="Z55" s="122" t="n">
        <v>13.2</v>
      </c>
      <c r="AA55" s="124" t="n">
        <v>84.35</v>
      </c>
      <c r="AB55" s="126"/>
      <c r="AC55" s="128">
        <f>IF(OR(AB55="",AE55=""),"-",IF(OR(ISNUMBER(SEARCH("3 Günlük",AE55)),ISNUMBER(SEARCH("7 Günlük",AE55)),ISNUMBER(SEARCH("Trendyol Satış Fiyatı",AE55))),IF(AB55&gt;=I55,IF(ISBLANK(P55),"-",P55),IF(AND(AB55&gt;=K55,AB55&lt;=J55),IF(ISBLANK(Q55),"-",Q55),IF(AND(AB55&gt;=M55,AB55&lt;=L55),IF(ISBLANK(R55),"-",R55),IF(AB55&lt;=N55,IF(ISBLANK(S55),"-",S55),"-")))),"-"))</f>
        <v>0.0</v>
      </c>
      <c r="AD55" s="130">
        <f>IF(OR(AB55="",AE55=""),"-",IF(OR(ISNUMBER(SEARCH("4 Günlük",AE55)),ISNUMBER(SEARCH("7 Günlük",AE55)),ISNUMBER(SEARCH("Trendyol Satış Fiyatı",AE55))),IF(AB55&gt;=I55,U55,IF(AND(AB55&gt;=K55,AB55&lt;=J55),V55,IF(AND(AB55&gt;=M55,AB55&lt;=L55),W55,IF(AB55&lt;=N55,X55,"-")))),"-"))</f>
        <v>0.0</v>
      </c>
      <c r="AE55" s="132" t="inlineStr">
        <is>
          <t>4 Günlük Fiyat</t>
        </is>
      </c>
      <c r="AF55" s="134"/>
      <c r="AG55" s="136" t="inlineStr">
        <is>
          <t>rh_c468826d7794111865b834b973a0cf91</t>
        </is>
      </c>
      <c r="AH55" s="138"/>
      <c r="AI55" s="140" t="inlineStr">
        <is>
          <t>28e1d9461a2c0f35104ce2f1e453ac97</t>
        </is>
      </c>
    </row>
    <row r="56">
      <c r="A56" s="72" t="inlineStr">
        <is>
          <t>200x300 Türk Bayrağı – 1. Kalite Kumaş</t>
        </is>
      </c>
      <c r="B56" s="74" t="inlineStr">
        <is>
          <t>8694430000048</t>
        </is>
      </c>
      <c r="C56" s="76" t="inlineStr">
        <is>
          <t/>
        </is>
      </c>
      <c r="D56" s="78"/>
      <c r="E56" s="80" t="inlineStr">
        <is>
          <t>113111</t>
        </is>
      </c>
      <c r="F56" s="82" t="inlineStr">
        <is>
          <t>Bayrak</t>
        </is>
      </c>
      <c r="G56" s="84" t="inlineStr">
        <is>
          <t>Buket</t>
        </is>
      </c>
      <c r="H56" s="86" t="n">
        <v>49.0</v>
      </c>
      <c r="I56" s="88" t="n">
        <v>777.28</v>
      </c>
      <c r="J56" s="90" t="n">
        <v>777.27</v>
      </c>
      <c r="K56" s="92" t="n">
        <v>741.62</v>
      </c>
      <c r="L56" s="94" t="n">
        <v>741.61</v>
      </c>
      <c r="M56" s="96" t="n">
        <v>694.7</v>
      </c>
      <c r="N56" s="98" t="n">
        <v>694.69</v>
      </c>
      <c r="O56" s="100"/>
      <c r="P56" s="102"/>
      <c r="Q56" s="104"/>
      <c r="R56" s="106"/>
      <c r="S56" s="108"/>
      <c r="T56" s="110" t="inlineStr">
        <is>
          <t>26 Haziran 08.00-30 Haziran 07.59</t>
        </is>
      </c>
      <c r="U56" s="112" t="n">
        <v>19.0</v>
      </c>
      <c r="V56" s="114" t="n">
        <v>15.4</v>
      </c>
      <c r="W56" s="116" t="n">
        <v>14.0</v>
      </c>
      <c r="X56" s="118" t="n">
        <v>11.9</v>
      </c>
      <c r="Y56" s="120" t="n">
        <v>900.0</v>
      </c>
      <c r="Z56" s="122" t="n">
        <v>19.0</v>
      </c>
      <c r="AA56" s="124" t="n">
        <v>900.0</v>
      </c>
      <c r="AB56" s="126"/>
      <c r="AC56" s="128">
        <f>IF(OR(AB56="",AE56=""),"-",IF(OR(ISNUMBER(SEARCH("3 Günlük",AE56)),ISNUMBER(SEARCH("7 Günlük",AE56)),ISNUMBER(SEARCH("Trendyol Satış Fiyatı",AE56))),IF(AB56&gt;=I56,IF(ISBLANK(P56),"-",P56),IF(AND(AB56&gt;=K56,AB56&lt;=J56),IF(ISBLANK(Q56),"-",Q56),IF(AND(AB56&gt;=M56,AB56&lt;=L56),IF(ISBLANK(R56),"-",R56),IF(AB56&lt;=N56,IF(ISBLANK(S56),"-",S56),"-")))),"-"))</f>
        <v>0.0</v>
      </c>
      <c r="AD56" s="130">
        <f>IF(OR(AB56="",AE56=""),"-",IF(OR(ISNUMBER(SEARCH("4 Günlük",AE56)),ISNUMBER(SEARCH("7 Günlük",AE56)),ISNUMBER(SEARCH("Trendyol Satış Fiyatı",AE56))),IF(AB56&gt;=I56,U56,IF(AND(AB56&gt;=K56,AB56&lt;=J56),V56,IF(AND(AB56&gt;=M56,AB56&lt;=L56),W56,IF(AB56&lt;=N56,X56,"-")))),"-"))</f>
        <v>0.0</v>
      </c>
      <c r="AE56" s="132"/>
      <c r="AF56" s="134"/>
      <c r="AG56" s="136"/>
      <c r="AH56" s="138"/>
      <c r="AI56" s="140" t="inlineStr">
        <is>
          <t>28e1d9461a2c0f35104ce2f1e453ac97</t>
        </is>
      </c>
    </row>
  </sheetData>
  <dataValidations count="56">
    <dataValidation type="decimal" operator="between" sqref="AB2:AB1048576" allowBlank="true" errorStyle="stop" promptTitle="Nasıl Doldurmalıyım ?" prompt="Ürünün Trendyol'da satmak istediğiniz fiyatını girin_x000a__x000a_Trendyol'da satılacak fiyat sadece sayı olarak girilmelidir._x000a__x000a_Fiyat sonuna TL ibaresi eklenmemelidir. Kuruş değeri virgül ile ayrılarak boşluk bırakılmadan 2 hane olacak şekilde girilmelidir" showInputMessage="true" errorTitle="Yeni TSF Fiyat Format Hatası" error="Kuruş değerini 2 hane olacak şekilde virgül ile ayırarak pozitif bir fiyat girin" showErrorMessage="true">
      <formula1>0</formula1>
      <formula2>3.4028235E38</formula2>
    </dataValidation>
    <dataValidation type="list" sqref="AE2" allowBlank="true" errorStyle="stop">
      <formula1>"4 Günlük Fiyat,Trendyol Satış Fiyatı"</formula1>
    </dataValidation>
    <dataValidation type="list" sqref="AE3" allowBlank="true" errorStyle="stop">
      <formula1>"4 Günlük Fiyat,Trendyol Satış Fiyatı"</formula1>
    </dataValidation>
    <dataValidation type="list" sqref="AE4" allowBlank="true" errorStyle="stop">
      <formula1>"4 Günlük Fiyat,Trendyol Satış Fiyatı"</formula1>
    </dataValidation>
    <dataValidation type="list" sqref="AE5" allowBlank="true" errorStyle="stop">
      <formula1>"4 Günlük Fiyat,Trendyol Satış Fiyatı"</formula1>
    </dataValidation>
    <dataValidation type="list" sqref="AE6" allowBlank="true" errorStyle="stop">
      <formula1>"4 Günlük Fiyat,Trendyol Satış Fiyatı"</formula1>
    </dataValidation>
    <dataValidation type="list" sqref="AE7" allowBlank="true" errorStyle="stop">
      <formula1>"4 Günlük Fiyat,Trendyol Satış Fiyatı"</formula1>
    </dataValidation>
    <dataValidation type="list" sqref="AE8" allowBlank="true" errorStyle="stop">
      <formula1>"4 Günlük Fiyat,Trendyol Satış Fiyatı"</formula1>
    </dataValidation>
    <dataValidation type="list" sqref="AE9" allowBlank="true" errorStyle="stop">
      <formula1>"4 Günlük Fiyat,Trendyol Satış Fiyatı"</formula1>
    </dataValidation>
    <dataValidation type="list" sqref="AE10" allowBlank="true" errorStyle="stop">
      <formula1>"4 Günlük Fiyat,Trendyol Satış Fiyatı"</formula1>
    </dataValidation>
    <dataValidation type="list" sqref="AE11" allowBlank="true" errorStyle="stop">
      <formula1>"4 Günlük Fiyat,Trendyol Satış Fiyatı"</formula1>
    </dataValidation>
    <dataValidation type="list" sqref="AE12" allowBlank="true" errorStyle="stop">
      <formula1>"4 Günlük Fiyat,Trendyol Satış Fiyatı"</formula1>
    </dataValidation>
    <dataValidation type="list" sqref="AE13" allowBlank="true" errorStyle="stop">
      <formula1>"4 Günlük Fiyat,Trendyol Satış Fiyatı"</formula1>
    </dataValidation>
    <dataValidation type="list" sqref="AE14" allowBlank="true" errorStyle="stop">
      <formula1>"4 Günlük Fiyat,Trendyol Satış Fiyatı"</formula1>
    </dataValidation>
    <dataValidation type="list" sqref="AE15" allowBlank="true" errorStyle="stop">
      <formula1>"4 Günlük Fiyat,Trendyol Satış Fiyatı"</formula1>
    </dataValidation>
    <dataValidation type="list" sqref="AE16" allowBlank="true" errorStyle="stop">
      <formula1>"4 Günlük Fiyat,Trendyol Satış Fiyatı"</formula1>
    </dataValidation>
    <dataValidation type="list" sqref="AE17" allowBlank="true" errorStyle="stop">
      <formula1>"4 Günlük Fiyat,Trendyol Satış Fiyatı"</formula1>
    </dataValidation>
    <dataValidation type="list" sqref="AE18" allowBlank="true" errorStyle="stop">
      <formula1>"4 Günlük Fiyat,Trendyol Satış Fiyatı"</formula1>
    </dataValidation>
    <dataValidation type="list" sqref="AE19" allowBlank="true" errorStyle="stop">
      <formula1>"4 Günlük Fiyat,Trendyol Satış Fiyatı"</formula1>
    </dataValidation>
    <dataValidation type="list" sqref="AE20" allowBlank="true" errorStyle="stop">
      <formula1>"4 Günlük Fiyat,Trendyol Satış Fiyatı"</formula1>
    </dataValidation>
    <dataValidation type="list" sqref="AE21" allowBlank="true" errorStyle="stop">
      <formula1>"4 Günlük Fiyat,Trendyol Satış Fiyatı"</formula1>
    </dataValidation>
    <dataValidation type="list" sqref="AE22" allowBlank="true" errorStyle="stop">
      <formula1>"4 Günlük Fiyat,Trendyol Satış Fiyatı"</formula1>
    </dataValidation>
    <dataValidation type="list" sqref="AE23" allowBlank="true" errorStyle="stop">
      <formula1>"4 Günlük Fiyat,Trendyol Satış Fiyatı"</formula1>
    </dataValidation>
    <dataValidation type="list" sqref="AE24" allowBlank="true" errorStyle="stop">
      <formula1>"4 Günlük Fiyat,Trendyol Satış Fiyatı"</formula1>
    </dataValidation>
    <dataValidation type="list" sqref="AE25" allowBlank="true" errorStyle="stop">
      <formula1>"4 Günlük Fiyat,Trendyol Satış Fiyatı"</formula1>
    </dataValidation>
    <dataValidation type="list" sqref="AE26" allowBlank="true" errorStyle="stop">
      <formula1>"4 Günlük Fiyat,Trendyol Satış Fiyatı"</formula1>
    </dataValidation>
    <dataValidation type="list" sqref="AE27" allowBlank="true" errorStyle="stop">
      <formula1>"4 Günlük Fiyat,Trendyol Satış Fiyatı"</formula1>
    </dataValidation>
    <dataValidation type="list" sqref="AE28" allowBlank="true" errorStyle="stop">
      <formula1>"4 Günlük Fiyat,Trendyol Satış Fiyatı"</formula1>
    </dataValidation>
    <dataValidation type="list" sqref="AE29" allowBlank="true" errorStyle="stop">
      <formula1>"4 Günlük Fiyat,Trendyol Satış Fiyatı"</formula1>
    </dataValidation>
    <dataValidation type="list" sqref="AE30" allowBlank="true" errorStyle="stop">
      <formula1>"4 Günlük Fiyat,Trendyol Satış Fiyatı"</formula1>
    </dataValidation>
    <dataValidation type="list" sqref="AE31" allowBlank="true" errorStyle="stop">
      <formula1>"4 Günlük Fiyat,Trendyol Satış Fiyatı"</formula1>
    </dataValidation>
    <dataValidation type="list" sqref="AE32" allowBlank="true" errorStyle="stop">
      <formula1>"4 Günlük Fiyat,Trendyol Satış Fiyatı"</formula1>
    </dataValidation>
    <dataValidation type="list" sqref="AE33" allowBlank="true" errorStyle="stop">
      <formula1>"4 Günlük Fiyat,Trendyol Satış Fiyatı"</formula1>
    </dataValidation>
    <dataValidation type="list" sqref="AE34" allowBlank="true" errorStyle="stop">
      <formula1>"4 Günlük Fiyat,Trendyol Satış Fiyatı"</formula1>
    </dataValidation>
    <dataValidation type="list" sqref="AE35" allowBlank="true" errorStyle="stop">
      <formula1>"4 Günlük Fiyat,Trendyol Satış Fiyatı"</formula1>
    </dataValidation>
    <dataValidation type="list" sqref="AE36" allowBlank="true" errorStyle="stop">
      <formula1>"4 Günlük Fiyat,Trendyol Satış Fiyatı"</formula1>
    </dataValidation>
    <dataValidation type="list" sqref="AE37" allowBlank="true" errorStyle="stop">
      <formula1>"4 Günlük Fiyat,Trendyol Satış Fiyatı"</formula1>
    </dataValidation>
    <dataValidation type="list" sqref="AE38" allowBlank="true" errorStyle="stop">
      <formula1>"4 Günlük Fiyat,Trendyol Satış Fiyatı"</formula1>
    </dataValidation>
    <dataValidation type="list" sqref="AE39" allowBlank="true" errorStyle="stop">
      <formula1>"4 Günlük Fiyat,Trendyol Satış Fiyatı"</formula1>
    </dataValidation>
    <dataValidation type="list" sqref="AE40" allowBlank="true" errorStyle="stop">
      <formula1>"4 Günlük Fiyat,Trendyol Satış Fiyatı"</formula1>
    </dataValidation>
    <dataValidation type="list" sqref="AE41" allowBlank="true" errorStyle="stop">
      <formula1>"4 Günlük Fiyat,Trendyol Satış Fiyatı"</formula1>
    </dataValidation>
    <dataValidation type="list" sqref="AE42" allowBlank="true" errorStyle="stop">
      <formula1>"4 Günlük Fiyat,Trendyol Satış Fiyatı"</formula1>
    </dataValidation>
    <dataValidation type="list" sqref="AE43" allowBlank="true" errorStyle="stop">
      <formula1>"4 Günlük Fiyat,Trendyol Satış Fiyatı"</formula1>
    </dataValidation>
    <dataValidation type="list" sqref="AE44" allowBlank="true" errorStyle="stop">
      <formula1>"4 Günlük Fiyat,Trendyol Satış Fiyatı"</formula1>
    </dataValidation>
    <dataValidation type="list" sqref="AE45" allowBlank="true" errorStyle="stop">
      <formula1>"4 Günlük Fiyat,Trendyol Satış Fiyatı"</formula1>
    </dataValidation>
    <dataValidation type="list" sqref="AE46" allowBlank="true" errorStyle="stop">
      <formula1>"4 Günlük Fiyat,Trendyol Satış Fiyatı"</formula1>
    </dataValidation>
    <dataValidation type="list" sqref="AE47" allowBlank="true" errorStyle="stop">
      <formula1>"4 Günlük Fiyat,Trendyol Satış Fiyatı"</formula1>
    </dataValidation>
    <dataValidation type="list" sqref="AE48" allowBlank="true" errorStyle="stop">
      <formula1>"4 Günlük Fiyat,Trendyol Satış Fiyatı"</formula1>
    </dataValidation>
    <dataValidation type="list" sqref="AE49" allowBlank="true" errorStyle="stop">
      <formula1>"4 Günlük Fiyat,Trendyol Satış Fiyatı"</formula1>
    </dataValidation>
    <dataValidation type="list" sqref="AE50" allowBlank="true" errorStyle="stop">
      <formula1>"4 Günlük Fiyat,Trendyol Satış Fiyatı"</formula1>
    </dataValidation>
    <dataValidation type="list" sqref="AE51" allowBlank="true" errorStyle="stop">
      <formula1>"4 Günlük Fiyat,Trendyol Satış Fiyatı"</formula1>
    </dataValidation>
    <dataValidation type="list" sqref="AE52" allowBlank="true" errorStyle="stop">
      <formula1>"4 Günlük Fiyat,Trendyol Satış Fiyatı"</formula1>
    </dataValidation>
    <dataValidation type="list" sqref="AE53" allowBlank="true" errorStyle="stop">
      <formula1>"4 Günlük Fiyat,Trendyol Satış Fiyatı"</formula1>
    </dataValidation>
    <dataValidation type="list" sqref="AE54" allowBlank="true" errorStyle="stop">
      <formula1>"4 Günlük Fiyat,Trendyol Satış Fiyatı"</formula1>
    </dataValidation>
    <dataValidation type="list" sqref="AE55" allowBlank="true" errorStyle="stop">
      <formula1>"4 Günlük Fiyat,Trendyol Satış Fiyatı"</formula1>
    </dataValidation>
    <dataValidation type="list" sqref="AE56" allowBlank="true" errorStyle="stop">
      <formula1>"4 Günlük Fiyat,Trendyol Satış Fiyatı"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2026-06-28T16:30:12Z</dcterms:created>
  <dc:creator>Apache POI</dc:creator>
</cp:coreProperties>
</file>